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e6e3f4f0e7433b" /></Relationships>
</file>

<file path=xl/workbook.xml><?xml version="1.0" encoding="utf-8"?>
<x:workbook xmlns:x="http://schemas.openxmlformats.org/spreadsheetml/2006/main">
  <x:sheets>
    <x:sheet xmlns:r="http://schemas.openxmlformats.org/officeDocument/2006/relationships" name="Read me" sheetId="1" r:id="R31b0e689c8fe41bf"/>
    <x:sheet xmlns:r="http://schemas.openxmlformats.org/officeDocument/2006/relationships" name="Scope and criteria" sheetId="2" r:id="R74207fbe94e24b1b"/>
    <x:sheet xmlns:r="http://schemas.openxmlformats.org/officeDocument/2006/relationships" name="Checklist and evidence" sheetId="3" r:id="Rf2c577f1d9374a9d"/>
    <x:sheet xmlns:r="http://schemas.openxmlformats.org/officeDocument/2006/relationships" name="Findings and actions" sheetId="4" r:id="Rc449a8c5802741db"/>
    <x:sheet xmlns:r="http://schemas.openxmlformats.org/officeDocument/2006/relationships" name="Management review" sheetId="5" r:id="R05e228dcce544114"/>
    <x:sheet xmlns:r="http://schemas.openxmlformats.org/officeDocument/2006/relationships" name="Worked examples" sheetId="6" r:id="R99820d8006094f9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7">
    <x:font>
      <x:sz val="11"/>
      <x:name val="Carlito"/>
    </x:font>
    <x:font>
      <x:sz val="11"/>
      <x:color rgb="FF171411"/>
      <x:name val="Arial"/>
    </x:font>
    <x:font>
      <x:b/>
      <x:sz val="18"/>
      <x:color rgb="FF171411"/>
      <x:name val="Georgia"/>
    </x:font>
    <x:font>
      <x:sz val="11"/>
      <x:color rgb="FF61594F"/>
      <x:name val="Arial"/>
    </x:font>
    <x:font>
      <x:b/>
      <x:sz val="14"/>
      <x:color rgb="FFFE5000"/>
      <x:name val="Georgia"/>
    </x:font>
    <x:font>
      <x:b/>
      <x:sz val="11"/>
      <x:color rgb="FFFFFFFF"/>
      <x:name val="Arial"/>
    </x:font>
    <x:font>
      <x:b/>
      <x:sz val="11"/>
      <x:color rgb="FF171411"/>
      <x:name val="Arial"/>
    </x:font>
  </x:fonts>
  <x:fills count="5">
    <x:fill>
      <x:patternFill patternType="none"/>
    </x:fill>
    <x:fill>
      <x:patternFill patternType="gray125"/>
    </x:fill>
    <x:fill>
      <x:patternFill patternType="solid">
        <x:fgColor rgb="FFFFF8EE"/>
      </x:patternFill>
    </x:fill>
    <x:fill>
      <x:patternFill patternType="solid">
        <x:fgColor rgb="FF171411"/>
      </x:patternFill>
    </x:fill>
    <x:fill>
      <x:patternFill patternType="solid">
        <x:fgColor rgb="FFFFE6D5"/>
      </x:patternFill>
    </x:fill>
  </x:fills>
  <x:borders count="7">
    <x:border>
      <x:left/>
      <x:right/>
      <x:top/>
      <x:bottom/>
      <x:diagonal/>
    </x:border>
    <x:border>
      <x:left/>
      <x:right/>
      <x:top/>
      <x:bottom style="thin">
        <x:color rgb="FFFE5000"/>
      </x:bottom>
      <x:diagonal/>
    </x:border>
    <x:border>
      <x:left/>
      <x:right/>
      <x:top/>
      <x:bottom style="thin">
        <x:color rgb="FFD8C9B8"/>
      </x:bottom>
      <x:diagonal/>
    </x:border>
    <x:border>
      <x:left/>
      <x:right/>
      <x:top style="thin">
        <x:color rgb="FFD8C9B8"/>
      </x:top>
      <x:bottom style="thin">
        <x:color rgb="FFD8C9B8"/>
      </x:bottom>
      <x:diagonal/>
    </x:border>
    <x:border>
      <x:left/>
      <x:right style="thin">
        <x:color rgb="FFFFFFFF"/>
      </x:right>
      <x:top/>
      <x:bottom/>
      <x:diagonal/>
    </x:border>
    <x:border>
      <x:left style="thin">
        <x:color rgb="FFFFFFFF"/>
      </x:left>
      <x:right/>
      <x:top/>
      <x:bottom/>
      <x:diagonal/>
    </x:border>
    <x:border>
      <x:left style="thin">
        <x:color rgb="FFFFFFFF"/>
      </x:left>
      <x:right style="thin">
        <x:color rgb="FFFFFFFF"/>
      </x:right>
      <x:top/>
      <x:bottom/>
      <x:diagonal/>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0" fillId="0" borderId="1" xfId="0" applyNumberFormat="1" applyFont="1" applyFill="1" applyBorder="1"/>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5" fillId="3" borderId="4" xfId="0" applyNumberFormat="1" applyFont="1" applyFill="1" applyBorder="1" applyAlignment="1">
      <x:alignment horizontal="center" vertical="top" wrapText="1"/>
    </x:xf>
    <x:xf numFmtId="0" fontId="5" fillId="3" borderId="5" xfId="0" applyNumberFormat="1" applyFont="1" applyFill="1" applyBorder="1" applyAlignment="1">
      <x:alignment horizontal="center" vertical="top" wrapText="1"/>
    </x:xf>
    <x:xf numFmtId="0" fontId="5" fillId="3" borderId="4" xfId="0" applyNumberFormat="1" applyFont="1" applyFill="1" applyBorder="1" applyAlignment="1">
      <x:alignment horizontal="center" vertical="center"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vertical="top" wrapText="1"/>
    </x:xf>
    <x:xf numFmtId="0" fontId="5" fillId="3" borderId="6" xfId="0" applyNumberFormat="1" applyFont="1" applyFill="1" applyBorder="1" applyAlignment="1">
      <x:alignment horizontal="center" vertical="top" wrapText="1"/>
    </x:xf>
    <x:xf numFmtId="0" fontId="5" fillId="3" borderId="6" xfId="0" applyNumberFormat="1" applyFont="1" applyFill="1" applyBorder="1" applyAlignment="1">
      <x:alignment horizontal="center" vertical="center" wrapText="1"/>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200" fontId="1" fillId="4" borderId="2" xfId="0" applyNumberFormat="1" applyFont="1" applyFill="1" applyBorder="1" applyAlignment="1">
      <x:alignment vertical="top" wrapText="1"/>
    </x:xf>
    <x:xf numFmtId="200" fontId="1" fillId="4" borderId="3"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6" fillId="2" borderId="0" xfId="0" applyNumberFormat="1" applyFont="1" applyFill="1" applyBorder="1" applyAlignment="1">
      <x:alignment vertical="top" wrapText="1"/>
    </x:xf>
  </x:cellXfs>
  <x:cellStyles count="1">
    <x:cellStyle name="Normal" xfId="0"/>
  </x:cellStyles>
  <x:dxfs count="4">
    <x:dxf>
      <x:font>
        <x:b/>
        <x:color rgb="FFAA3400"/>
      </x:font>
      <x:fill>
        <x:patternFill patternType="solid">
          <x:bgColor rgb="FFFFF1E9"/>
        </x:patternFill>
      </x:fill>
    </x:dxf>
    <x:dxf>
      <x:font>
        <x:b/>
        <x:color rgb="FFAA3400"/>
      </x:font>
      <x:fill>
        <x:patternFill patternType="solid">
          <x:bgColor rgb="FFFFF1E9"/>
        </x:patternFill>
      </x:fill>
    </x:dxf>
    <x:dxf>
      <x:font>
        <x:b/>
        <x:color rgb="FFAA3400"/>
      </x:font>
      <x:fill>
        <x:patternFill patternType="solid">
          <x:bgColor rgb="FFFFF1E9"/>
        </x:patternFill>
      </x:fill>
    </x:dxf>
    <x:dxf>
      <x:font>
        <x:b/>
        <x:color rgb="FFAA3400"/>
      </x:font>
      <x:fill>
        <x:patternFill patternType="solid">
          <x:bgColor rgb="FFFFF1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af6561873b44a2" /><Relationship Type="http://schemas.openxmlformats.org/officeDocument/2006/relationships/theme" Target="/xl/theme/theme1.xml" Id="Ree598f81896a436b" /><Relationship Type="http://schemas.openxmlformats.org/officeDocument/2006/relationships/sharedStrings" Target="/xl/sharedStrings.xml" Id="R67e7f8e562404c4d" /><Relationship Type="http://schemas.openxmlformats.org/officeDocument/2006/relationships/worksheet" Target="/xl/worksheets/sheet1.xml" Id="R31b0e689c8fe41bf" /><Relationship Type="http://schemas.openxmlformats.org/officeDocument/2006/relationships/worksheet" Target="/xl/worksheets/sheet2.xml" Id="R74207fbe94e24b1b" /><Relationship Type="http://schemas.openxmlformats.org/officeDocument/2006/relationships/worksheet" Target="/xl/worksheets/sheet3.xml" Id="Rf2c577f1d9374a9d" /><Relationship Type="http://schemas.openxmlformats.org/officeDocument/2006/relationships/worksheet" Target="/xl/worksheets/sheet4.xml" Id="Rc449a8c5802741db" /><Relationship Type="http://schemas.openxmlformats.org/officeDocument/2006/relationships/worksheet" Target="/xl/worksheets/sheet5.xml" Id="R05e228dcce544114" /><Relationship Type="http://schemas.openxmlformats.org/officeDocument/2006/relationships/worksheet" Target="/xl/worksheets/sheet6.xml" Id="R99820d8006094f94" /></Relationships>
</file>

<file path=xl/tables/table1.xml><?xml version="1.0" encoding="utf-8"?>
<x:table xmlns:x="http://schemas.openxmlformats.org/spreadsheetml/2006/main" id="1" name="StatusDefinitions" displayName="StatusDefinitions" ref="A22:B27" headerRowCount="1" totalsRowCount="0" totalsRowShown="0">
  <x:autoFilter ref="A22:B27"/>
  <x:tableColumns count="2">
    <x:tableColumn id="1" name="Status"/>
    <x:tableColumn id="2" name="Meaning"/>
  </x:tableColumns>
  <x:tableStyleInfo name="TableStyleLight1" showFirstColumn="0" showLastColumn="0" showRowStripes="1" showColumnStripes="0"/>
</x:table>
</file>

<file path=xl/tables/table2.xml><?xml version="1.0" encoding="utf-8"?>
<x:table xmlns:x="http://schemas.openxmlformats.org/spreadsheetml/2006/main" id="2" name="ReviewScope" displayName="ReviewScope" ref="A6:C16" headerRowCount="1" totalsRowCount="0" totalsRowShown="0">
  <x:autoFilter ref="A6:C16"/>
  <x:tableColumns count="3">
    <x:tableColumn id="1" name="Field"/>
    <x:tableColumn id="2" name="Prompt"/>
    <x:tableColumn id="3" name="Your review"/>
  </x:tableColumns>
  <x:tableStyleInfo name="TableStyleLight1" showFirstColumn="0" showLastColumn="0" showRowStripes="1" showColumnStripes="0"/>
</x:table>
</file>

<file path=xl/tables/table3.xml><?xml version="1.0" encoding="utf-8"?>
<x:table xmlns:x="http://schemas.openxmlformats.org/spreadsheetml/2006/main" id="3" name="CriteriaRegister" displayName="CriteriaRegister" ref="A22:I30" headerRowCount="1" totalsRowCount="0" totalsRowShown="0">
  <x:autoFilter ref="A22:I30"/>
  <x:tableColumns count="9">
    <x:tableColumn id="1" name="Reference ID"/>
    <x:tableColumn id="2" name="Requirement and version"/>
    <x:tableColumn id="3" name="Assigned check IDs"/>
    <x:tableColumn id="4" name="Responsible owner"/>
    <x:tableColumn id="5" name="Evidence requested from"/>
    <x:tableColumn id="6" name="Requested date"/>
    <x:tableColumn id="7" name="Needed by"/>
    <x:tableColumn id="8" name="Request state"/>
    <x:tableColumn id="9" name="Evidence reference / outstanding question"/>
  </x:tableColumns>
  <x:tableStyleInfo name="TableStyleLight1" showFirstColumn="0" showLastColumn="0" showRowStripes="1" showColumnStripes="0"/>
</x:table>
</file>

<file path=xl/tables/table4.xml><?xml version="1.0" encoding="utf-8"?>
<x:table xmlns:x="http://schemas.openxmlformats.org/spreadsheetml/2006/main" id="4" name="ScopeRequests" displayName="ScopeRequests" ref="A35:F43" headerRowCount="1" totalsRowCount="0" totalsRowShown="0">
  <x:autoFilter ref="A35:F43"/>
  <x:tableColumns count="6">
    <x:tableColumn id="1" name="Check / area ID"/>
    <x:tableColumn id="2" name="Excluded coverage or missing evidence"/>
    <x:tableColumn id="3" name="Reason / question to resolve"/>
    <x:tableColumn id="4" name="Responsible owner"/>
    <x:tableColumn id="5" name="Target date"/>
    <x:tableColumn id="6" name="State"/>
  </x:tableColumns>
  <x:tableStyleInfo name="TableStyleLight1" showFirstColumn="0" showLastColumn="0" showRowStripes="1" showColumnStripes="0"/>
</x:table>
</file>

<file path=xl/tables/table5.xml><?xml version="1.0" encoding="utf-8"?>
<x:table xmlns:x="http://schemas.openxmlformats.org/spreadsheetml/2006/main" id="5" name="CheckRegister" displayName="CheckRegister" ref="A7:K43" headerRowCount="1" totalsRowCount="0" totalsRowShown="0">
  <x:autoFilter ref="A7:K43"/>
  <x:tableColumns count="11">
    <x:tableColumn id="1" name="Check ID"/>
    <x:tableColumn id="2" name="Area"/>
    <x:tableColumn id="3" name="Check question / starter prompts"/>
    <x:tableColumn id="4" name="Scope choice"/>
    <x:tableColumn id="5" name="Applicable criterion / reference and version"/>
    <x:tableColumn id="6" name="Review status"/>
    <x:tableColumn id="7" name="Observation and supporting evidence"/>
    <x:tableColumn id="8" name="Observation date / sample / context"/>
    <x:tableColumn id="9" name="Not applicable or exclusion reason"/>
    <x:tableColumn id="10" name="Finding IDs"/>
    <x:tableColumn id="11" name="Review gaps"/>
  </x:tableColumns>
  <x:tableStyleInfo name="TableStyleLight1" showFirstColumn="0" showLastColumn="0" showRowStripes="1" showColumnStripes="0"/>
</x:table>
</file>

<file path=xl/tables/table6.xml><?xml version="1.0" encoding="utf-8"?>
<x:table xmlns:x="http://schemas.openxmlformats.org/spreadsheetml/2006/main" id="6" name="StarterPrompts" displayName="StarterPrompts" ref="A49:D77" headerRowCount="1" totalsRowCount="0" totalsRowShown="0">
  <x:autoFilter ref="A49:D77"/>
  <x:tableColumns count="4">
    <x:tableColumn id="1" name="Check ID"/>
    <x:tableColumn id="2" name="Check"/>
    <x:tableColumn id="3" name="Starter prompts"/>
    <x:tableColumn id="4" name="Navigation"/>
  </x:tableColumns>
  <x:tableStyleInfo name="TableStyleLight1" showFirstColumn="0" showLastColumn="0" showRowStripes="1" showColumnStripes="0"/>
</x:table>
</file>

<file path=xl/tables/table7.xml><?xml version="1.0" encoding="utf-8"?>
<x:table xmlns:x="http://schemas.openxmlformats.org/spreadsheetml/2006/main" id="7" name="FindingRegister" displayName="FindingRegister" ref="A7:I19" headerRowCount="1" totalsRowCount="0" totalsRowShown="0">
  <x:autoFilter ref="A7:I19"/>
  <x:tableColumns count="9">
    <x:tableColumn id="1" name="Finding ID"/>
    <x:tableColumn id="2" name="Linked check IDs / custom area"/>
    <x:tableColumn id="3" name="Observation / unresolved question"/>
    <x:tableColumn id="4" name="Applicable criterion / version"/>
    <x:tableColumn id="5" name="Supporting evidence / sample"/>
    <x:tableColumn id="6" name="Consequence / decision affected"/>
    <x:tableColumn id="7" name="Evidence limits / conflicting accounts"/>
    <x:tableColumn id="8" name="Possible cause (hypothesis)"/>
    <x:tableColumn id="9" name="Urgency assigned by reviewer"/>
  </x:tableColumns>
  <x:tableStyleInfo name="TableStyleLight1" showFirstColumn="0" showLastColumn="0" showRowStripes="1" showColumnStripes="0"/>
</x:table>
</file>

<file path=xl/tables/table8.xml><?xml version="1.0" encoding="utf-8"?>
<x:table xmlns:x="http://schemas.openxmlformats.org/spreadsheetml/2006/main" id="8" name="ActionRegister" displayName="ActionRegister" ref="A25:L45" headerRowCount="1" totalsRowCount="0" totalsRowShown="0">
  <x:autoFilter ref="A25:L45"/>
  <x:tableColumns count="12">
    <x:tableColumn id="1" name="Action ID"/>
    <x:tableColumn id="2" name="Finding ID"/>
    <x:tableColumn id="3" name="Action type"/>
    <x:tableColumn id="4" name="Next action / work required"/>
    <x:tableColumn id="5" name="Responsible owner"/>
    <x:tableColumn id="6" name="Target date"/>
    <x:tableColumn id="7" name="Work state"/>
    <x:tableColumn id="8" name="Decision / resources needed"/>
    <x:tableColumn id="9" name="Decision owner"/>
    <x:tableColumn id="10" name="Completion evidence"/>
    <x:tableColumn id="11" name="Completed date"/>
    <x:tableColumn id="12" name="Follow-up gaps"/>
  </x:tableColumns>
  <x:tableStyleInfo name="TableStyleLight1" showFirstColumn="0" showLastColumn="0" showRowStripes="1" showColumnStripes="0"/>
</x:table>
</file>

<file path=xl/tables/table9.xml><?xml version="1.0" encoding="utf-8"?>
<x:table xmlns:x="http://schemas.openxmlformats.org/spreadsheetml/2006/main" id="9" name="VerificationRegister" displayName="VerificationRegister" ref="A52:I72" headerRowCount="1" totalsRowCount="0" totalsRowShown="0">
  <x:autoFilter ref="A52:I72"/>
  <x:tableColumns count="9">
    <x:tableColumn id="1" name="Action ID"/>
    <x:tableColumn id="2" name="Verification method / sample"/>
    <x:tableColumn id="3" name="Responsible reviewer"/>
    <x:tableColumn id="4" name="Planned check date"/>
    <x:tableColumn id="5" name="Performed date"/>
    <x:tableColumn id="6" name="Result"/>
    <x:tableColumn id="7" name="Verification evidence"/>
    <x:tableColumn id="8" name="Limits / remaining uncertainty"/>
    <x:tableColumn id="9" name="Further action / decision"/>
  </x:tableColumns>
  <x:tableStyleInfo name="TableStyleLight1" showFirstColumn="0" showLastColumn="0" showRowStripes="1" showColumnStripes="0"/>
</x:table>
</file>

<file path=xl/tables/table10.xml><?xml version="1.0" encoding="utf-8"?>
<x:table xmlns:x="http://schemas.openxmlformats.org/spreadsheetml/2006/main" id="10" name="ManagementRecord" displayName="ManagementRecord" ref="A8:C16" headerRowCount="1" totalsRowCount="0" totalsRowShown="0">
  <x:autoFilter ref="A8:C16"/>
  <x:tableColumns count="3">
    <x:tableColumn id="1" name="Review topic"/>
    <x:tableColumn id="2" name="Prompt"/>
    <x:tableColumn id="3" name="Meeting record / decision"/>
  </x:tableColumns>
  <x:tableStyleInfo name="TableStyleLight1" showFirstColumn="0" showLastColumn="0" showRowStripes="1" showColumnStripes="0"/>
</x:table>
</file>

<file path=xl/tables/table11.xml><?xml version="1.0" encoding="utf-8"?>
<x:table xmlns:x="http://schemas.openxmlformats.org/spreadsheetml/2006/main" id="11" name="ManagementDecisions" displayName="ManagementDecisions" ref="A21:D29" headerRowCount="1" totalsRowCount="0" totalsRowShown="0">
  <x:autoFilter ref="A21:D29"/>
  <x:tableColumns count="4">
    <x:tableColumn id="1" name="Decision / linked finding IDs"/>
    <x:tableColumn id="2" name="Decision and rationale / resources"/>
    <x:tableColumn id="3" name="Responsible owner / target date"/>
    <x:tableColumn id="4" name="Action / verification referen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48c239dc96144bb1" /><ns0:Relationship Id="rIdPackHyperlink1" Type="http://schemas.openxmlformats.org/officeDocument/2006/relationships/hyperlink" Target="https://datadocks.com/posts/warehouse-audit-checklist" TargetMode="External" /></ns0:Relationships>
</file>

<file path=xl/worksheets/_rels/sheet2.xml.rels>&#65279;<?xml version="1.0" encoding="utf-8"?><Relationships xmlns="http://schemas.openxmlformats.org/package/2006/relationships"><Relationship Type="http://schemas.openxmlformats.org/officeDocument/2006/relationships/table" Target="/xl/tables/table2.xml" Id="R8cc7513b8fc7430b" /><Relationship Type="http://schemas.openxmlformats.org/officeDocument/2006/relationships/table" Target="/xl/tables/table3.xml" Id="Rf6fbfdd33eba4f6c" /><Relationship Type="http://schemas.openxmlformats.org/officeDocument/2006/relationships/table" Target="/xl/tables/table4.xml" Id="R0a4e19949f374157" /></Relationships>
</file>

<file path=xl/worksheets/_rels/sheet3.xml.rels><?xml version='1.0' encoding='utf-8'?>
<ns0:Relationships xmlns:ns0="http://schemas.openxmlformats.org/package/2006/relationships"><ns0:Relationship Type="http://schemas.openxmlformats.org/officeDocument/2006/relationships/table" Target="/xl/tables/table5.xml" Id="Rd20b3f6a005d41d6" /><ns0:Relationship Type="http://schemas.openxmlformats.org/officeDocument/2006/relationships/table" Target="/xl/tables/table6.xml" Id="R8d18320d3b7f4610" /></ns0:Relationships>
</file>

<file path=xl/worksheets/_rels/sheet4.xml.rels>&#65279;<?xml version="1.0" encoding="utf-8"?><Relationships xmlns="http://schemas.openxmlformats.org/package/2006/relationships"><Relationship Type="http://schemas.openxmlformats.org/officeDocument/2006/relationships/table" Target="/xl/tables/table7.xml" Id="R3ae7a6b90c35430a" /><Relationship Type="http://schemas.openxmlformats.org/officeDocument/2006/relationships/table" Target="/xl/tables/table8.xml" Id="R1760d98085fc4cef" /><Relationship Type="http://schemas.openxmlformats.org/officeDocument/2006/relationships/table" Target="/xl/tables/table9.xml" Id="R4fae9c090dd44601" /></Relationships>
</file>

<file path=xl/worksheets/_rels/sheet5.xml.rels>&#65279;<?xml version="1.0" encoding="utf-8"?><Relationships xmlns="http://schemas.openxmlformats.org/package/2006/relationships"><Relationship Type="http://schemas.openxmlformats.org/officeDocument/2006/relationships/table" Target="/xl/tables/table10.xml" Id="Red59d1b753ff4e59" /><Relationship Type="http://schemas.openxmlformats.org/officeDocument/2006/relationships/table" Target="/xl/tables/table11.xml" Id="R9e0902d83287447b" /></Relationships>
</file>

<file path=xl/worksheets/sheet1.xml><?xml version="1.0" encoding="utf-8"?>
<worksheet xmlns="http://schemas.openxmlformats.org/spreadsheetml/2006/main" xmlns:r="http://schemas.openxmlformats.org/officeDocument/2006/relationships">
  <sheetPr>
    <tabColor rgb="FFD2C5B3"/>
  </sheetPr>
  <sheetViews>
    <sheetView showGridLines="0" workbookViewId="0"/>
  </sheetViews>
  <sheetFormatPr defaultRowHeight="15"/>
  <cols>
    <col min="1" max="1" width="32" hidden="0" customWidth="1"/>
    <col min="2" max="2" width="114" hidden="0" customWidth="1"/>
    <col min="3" max="3" width="4" hidden="0" customWidth="1"/>
  </cols>
  <sheetData>
    <row r="1" ht="30" customHeight="1">
      <c r="A1" s="3"/>
      <c r="B1" s="3"/>
      <c r="C1" s="3"/>
    </row>
    <row r="2" ht="36" customHeight="1">
      <c r="A2" s="4" t="str">
        <v>Warehouse Audit Working Pack</v>
      </c>
      <c r="B2" s="3"/>
      <c r="C2" s="3"/>
    </row>
    <row r="3" ht="30" customHeight="1">
      <c r="A3" s="5"/>
      <c r="B3" s="5"/>
      <c r="C3" s="5"/>
      <c r="D3" s="6"/>
    </row>
    <row r="4" ht="30" customHeight="1">
      <c r="A4" s="7" t="str">
        <v>Workbook</v>
      </c>
      <c r="B4" s="7" t="str">
        <v>Six linked worksheets</v>
      </c>
      <c r="C4" s="3"/>
    </row>
    <row r="5" ht="30" customHeight="1">
      <c r="A5" s="7" t="str">
        <v>Companion file</v>
      </c>
      <c r="B5" s="7" t="str">
        <v>Printable PDF floor sheets</v>
      </c>
      <c r="C5" s="3"/>
    </row>
    <row r="6" ht="48" customHeight="1">
      <c r="A6" s="7" t="str">
        <v>Use</v>
      </c>
      <c r="B6" s="7" t="str">
        <v>Plan a scoped warehouse review, record evidence and carry findings through to action and verification.</v>
      </c>
      <c r="C6" s="3"/>
    </row>
    <row r="7" ht="48" customHeight="1">
      <c r="A7" s="7" t="str">
        <v>Scope limits</v>
      </c>
      <c r="B7" s="7" t="str">
        <v>The 28 starter checks need the requirements, goods, activities and operating conditions of your review. They do not provide a complete legal or sector-specific audit, certification or an overall pass score.</v>
      </c>
      <c r="C7" s="3"/>
    </row>
    <row r="8" ht="30" customHeight="1">
      <c r="A8" s="3"/>
      <c r="B8" s="3"/>
      <c r="C8" s="3"/>
    </row>
    <row r="9" ht="30" customHeight="1">
      <c r="A9" s="3"/>
      <c r="B9" s="8" t="str">
        <v>Examples are fictional and separate from blank working records.</v>
      </c>
      <c r="C9" s="3"/>
    </row>
    <row r="10" ht="30" customHeight="1">
      <c r="A10" s="3"/>
      <c r="B10" s="3"/>
      <c r="C10" s="3"/>
    </row>
    <row r="11" ht="26" customHeight="1">
      <c r="A11" s="9" t="str">
        <v>Use the pack</v>
      </c>
      <c r="B11" s="3"/>
      <c r="C11" s="3"/>
    </row>
    <row r="12" ht="45" customHeight="1">
      <c r="A12" s="7" t="str">
        <v>Start with the decision</v>
      </c>
      <c r="B12" s="7" t="str">
        <v>Record the question this review must answer, the areas to examine and who will use the findings. You can plan evidence before making observations.</v>
      </c>
      <c r="C12" s="3"/>
    </row>
    <row r="13" ht="45" customHeight="1">
      <c r="A13" s="7" t="str">
        <v>Establish the criteria</v>
      </c>
      <c r="B13" s="7" t="str">
        <v>Name the applicable procedure, agreement or other requirement and its version. Assign it to the relevant check. Write 'Not yet established' where it is unknown.</v>
      </c>
      <c r="C13" s="3"/>
    </row>
    <row r="14" ht="45" customHeight="1">
      <c r="A14" s="7" t="str">
        <v>Keep the sample visible</v>
      </c>
      <c r="B14" s="7" t="str">
        <v>Record the goods, locations, shifts, period and transactions examined. Keep exclusions and evidence limits with the conclusion.</v>
      </c>
      <c r="C14" s="3"/>
    </row>
    <row r="15" ht="45" customHeight="1">
      <c r="A15" s="7" t="str">
        <v>Use evidence references</v>
      </c>
      <c r="B15" s="7" t="str">
        <v>Enter short observations and record references. Use roles and site aliases where sufficient; avoid copying customer details or sensitive records into the pack.</v>
      </c>
      <c r="C15" s="3"/>
    </row>
    <row r="16" ht="45" customHeight="1">
      <c r="A16" s="7" t="str">
        <v>Leave uncertainty open</v>
      </c>
      <c r="B16" s="7" t="str">
        <v>A blank status means Not reviewed. Record missing criteria, conflicting accounts and unanswered questions. Label a possible cause as a hypothesis.</v>
      </c>
      <c r="C16" s="3"/>
    </row>
    <row r="17" ht="45" customHeight="1">
      <c r="A17" s="7" t="str">
        <v>Assign the next step</v>
      </c>
      <c r="B17" s="7" t="str">
        <v>Give each concern an action owner, target date and verification plan. Keep the person doing the work separate from anyone who must approve resources or make a decision.</v>
      </c>
      <c r="C17" s="3"/>
    </row>
    <row r="18" ht="45" customHeight="1">
      <c r="A18" s="7" t="str">
        <v>Separate completion from effectiveness</v>
      </c>
      <c r="B18" s="7" t="str">
        <v>Record what was completed, then what the follow-up check showed. Work completed without effectiveness evidence remains awaiting verification.</v>
      </c>
      <c r="C18" s="3"/>
    </row>
    <row r="19" ht="45" customHeight="1">
      <c r="A19" s="7" t="str">
        <v>Adapt the working record</v>
      </c>
      <c r="B19" s="7" t="str">
        <v>Save a copy before entering your review. Keep the starter check IDs and add local checks where needed. The examples illustrate recording; they are not findings about your operation.</v>
      </c>
      <c r="C19" s="3"/>
    </row>
    <row r="20" ht="30" customHeight="1">
      <c r="A20" s="3"/>
      <c r="B20" s="3"/>
      <c r="C20" s="3"/>
    </row>
    <row r="21" ht="26" customHeight="1">
      <c r="A21" s="9" t="str">
        <v>Status meanings</v>
      </c>
      <c r="B21" s="3"/>
      <c r="C21" s="3"/>
    </row>
    <row r="22" ht="42" customHeight="1">
      <c r="A22" s="18" t="str">
        <v>Status</v>
      </c>
      <c r="B22" s="19" t="str">
        <v>Meaning</v>
      </c>
      <c r="C22" s="3"/>
    </row>
    <row r="23" ht="54" customHeight="1">
      <c r="A23" s="10" t="str">
        <v>Not reviewed</v>
      </c>
      <c r="B23" s="10" t="str">
        <v>No assessment recorded. Plan the evidence still needed.</v>
      </c>
      <c r="C23" s="3"/>
    </row>
    <row r="24" ht="54" customHeight="1">
      <c r="A24" s="11" t="str">
        <v>Evidence supports the stated check</v>
      </c>
      <c r="B24" s="11" t="str">
        <v>Your evidence supports the check within the stated scope. Name the criterion and supporting reference; missing support remains a gap.</v>
      </c>
      <c r="C24" s="3"/>
    </row>
    <row r="25" ht="54" customHeight="1">
      <c r="A25" s="11" t="str">
        <v>Concern found</v>
      </c>
      <c r="B25" s="11" t="str">
        <v>Record the observation, requirement and evidence, then assign follow-up. Do not assume the cause is established.</v>
      </c>
      <c r="C25" s="3"/>
    </row>
    <row r="26" ht="54" customHeight="1">
      <c r="A26" s="11" t="str">
        <v>Inconclusive or conflicting evidence</v>
      </c>
      <c r="B26" s="11" t="str">
        <v>The available information does not settle the question. Preserve the uncertainty and request the next evidence.</v>
      </c>
      <c r="C26" s="3"/>
    </row>
    <row r="27" ht="54" customHeight="1">
      <c r="A27" s="11" t="str">
        <v>Not applicable — reason recorded</v>
      </c>
      <c r="B27" s="11" t="str">
        <v>Explain why the check falls outside this review. A missing reason remains an unresolved scope gap.</v>
      </c>
      <c r="C27" s="3"/>
    </row>
    <row r="28" ht="30" customHeight="1">
      <c r="A28" s="3"/>
      <c r="B28" s="3"/>
      <c r="C28" s="3"/>
    </row>
    <row r="29" ht="26" customHeight="1">
      <c r="A29" s="9" t="str">
        <v>Working fields</v>
      </c>
      <c r="B29" s="3"/>
      <c r="C29" s="3"/>
    </row>
    <row r="30" ht="45" customHeight="1">
      <c r="A30" s="7" t="str">
        <v>Peach cells</v>
      </c>
      <c r="B30" s="7" t="str">
        <v>Editable fields. Cream cells contain starter prompts, definitions or calculated context. Warnings use darker orange text. Save a review copy before entering evidence.</v>
      </c>
      <c r="C30" s="3"/>
    </row>
    <row r="31" ht="45" customHeight="1">
      <c r="A31" s="7" t="str">
        <v>Check question</v>
      </c>
      <c r="B31" s="7" t="str">
        <v>Select a check question to open its full starter prompts. Each prompt has a return link to the register.</v>
      </c>
      <c r="C31" s="3"/>
    </row>
    <row r="32" ht="45" customHeight="1">
      <c r="A32" s="7" t="str">
        <v>Scope choice</v>
      </c>
      <c r="B32" s="7" t="str">
        <v>Selected, Not selected or blank. Blank means the review scope has not yet been assigned. Keep excluded entries rather than deleting them.</v>
      </c>
      <c r="C32" s="3"/>
    </row>
    <row r="33" ht="45" customHeight="1">
      <c r="A33" s="7" t="str">
        <v>Criterion reference</v>
      </c>
      <c r="B33" s="7" t="str">
        <v>Enter the requirement or reference ID and version for this check. No requirement is assigned to all checks automatically.</v>
      </c>
      <c r="C33" s="3"/>
    </row>
    <row r="34" ht="45" customHeight="1">
      <c r="A34" s="7" t="str">
        <v>Blank status</v>
      </c>
      <c r="B34" s="7" t="str">
        <v>Not reviewed. It never counts as evidence supporting a check.</v>
      </c>
      <c r="C34" s="3"/>
    </row>
    <row r="35" ht="45" customHeight="1">
      <c r="A35" s="7" t="str">
        <v>Finding and action IDs</v>
      </c>
      <c r="B35" s="7" t="str">
        <v>Use the same stable IDs across the finding, action and verification tables. One finding may have several actions. Keep a single verification row per action; retain past verification history in evidence references.</v>
      </c>
      <c r="C35" s="3"/>
    </row>
    <row r="36" ht="45" customHeight="1">
      <c r="A36" s="7" t="str">
        <v>Verification result</v>
      </c>
      <c r="B36" s="7" t="str">
        <v>Not yet checked, Effective, Not effective or Inconclusive. Work completed is recorded separately. A result needs a reviewer, date and evidence reference.</v>
      </c>
      <c r="C36" s="3"/>
    </row>
    <row r="37" ht="45" customHeight="1">
      <c r="A37" s="7" t="str">
        <v>Extra checks and rows</v>
      </c>
      <c r="B37" s="7" t="str">
        <v>Use the blank custom rows or extend the relevant Excel table. Preserve the starter IDs. Give new checks and actions unique IDs. When extending a table, retain its validation and calculated columns.</v>
      </c>
      <c r="C37" s="3"/>
    </row>
    <row r="38" ht="30" customHeight="1">
      <c r="A38" s="3"/>
      <c r="B38" s="3"/>
      <c r="C38" s="3"/>
    </row>
    <row r="39" ht="30" customHeight="1">
      <c r="A39" s="3"/>
      <c r="B39" s="3"/>
      <c r="C39" s="3"/>
    </row>
    <row r="40" ht="30" customHeight="1">
      <c r="A40" s="3"/>
      <c r="B40" s="3" t="str">
        <v>Read the warehouse audit guide</v>
      </c>
      <c r="C40" s="3"/>
    </row>
    <row r="41" ht="30" customHeight="1">
      <c r="A41" s="3"/>
      <c r="B41" s="3"/>
      <c r="C41" s="3"/>
    </row>
    <row r="42" ht="30" customHeight="1">
      <c r="A42" s="3"/>
      <c r="B42" s="3"/>
      <c r="C42" s="3"/>
    </row>
    <row r="43" ht="30" customHeight="1">
      <c r="A43" s="3"/>
      <c r="B43" s="3"/>
      <c r="C43" s="3"/>
    </row>
    <row r="44" ht="30" customHeight="1">
      <c r="A44" s="3"/>
      <c r="B44" s="3"/>
      <c r="C44" s="3"/>
    </row>
    <row r="45" ht="30" customHeight="1">
      <c r="A45" s="3"/>
      <c r="B45" s="3"/>
      <c r="C45" s="3"/>
    </row>
    <row r="46" ht="30" customHeight="1">
      <c r="A46" s="3"/>
      <c r="B46" s="3"/>
      <c r="C46" s="3"/>
    </row>
    <row r="47" ht="30" customHeight="1">
      <c r="A47" s="3"/>
      <c r="B47" s="3"/>
      <c r="C47" s="3"/>
    </row>
  </sheetData>
  <mergeCells>
    <mergeCell ref="A2:B2"/>
  </mergeCells>
  <hyperlinks>
    <hyperlink ref="B40" r:id="rIdPackHyperlink1"/>
  </hyperlinks>
  <pageMargins left="0.7" right="0.7" top="0.75" bottom="0.75" header="0.3" footer="0.3"/>
  <tableParts count="1">
    <tablePart r:id="R48c239dc96144bb1"/>
  </tableParts>
</worksheet>
</file>

<file path=xl/worksheets/sheet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63" hidden="0" customWidth="1"/>
    <x:col min="3" max="3" width="58" hidden="0" customWidth="1"/>
    <x:col min="4" max="4" width="26" hidden="0" customWidth="1"/>
    <x:col min="5" max="5" width="30" hidden="0" customWidth="1"/>
    <x:col min="6" max="6" width="17" hidden="0" customWidth="1"/>
    <x:col min="7" max="7" width="17" hidden="0" customWidth="1"/>
    <x:col min="8" max="8" width="22" hidden="0" customWidth="1"/>
    <x:col min="9" max="9" width="43" hidden="0" customWidth="1"/>
  </x:cols>
  <x:sheetData>
    <x:row r="1" ht="30" customHeight="1">
      <x:c r="A1" s="3"/>
      <x:c r="B1" s="3"/>
      <x:c r="C1" s="3"/>
      <x:c r="D1" s="3"/>
      <x:c r="E1" s="3"/>
      <x:c r="F1" s="3"/>
      <x:c r="G1" s="3"/>
      <x:c r="H1" s="3"/>
      <x:c r="I1" s="3"/>
    </x:row>
    <x:row r="2" ht="36" customHeight="1">
      <x:c r="A2" s="4" t="str">
        <x:v>Scope and criteria</x:v>
      </x:c>
      <x:c r="B2" s="3"/>
      <x:c r="C2" s="3"/>
      <x:c r="D2" s="3"/>
      <x:c r="E2" s="3"/>
      <x:c r="F2" s="3"/>
      <x:c r="G2" s="3"/>
      <x:c r="H2" s="3"/>
      <x:c r="I2" s="3"/>
    </x:row>
    <x:row r="3" ht="30" customHeight="1">
      <x:c r="A3" s="5"/>
      <x:c r="B3" s="5"/>
      <x:c r="C3" s="5"/>
      <x:c r="D3" s="5"/>
      <x:c r="E3" s="3"/>
      <x:c r="F3" s="3"/>
      <x:c r="G3" s="3"/>
      <x:c r="H3" s="3"/>
      <x:c r="I3" s="3"/>
    </x:row>
    <x:row r="4" ht="30" customHeight="1">
      <x:c r="A4" s="8" t="str">
        <x:v>Enter the decision and review boundary before assigning checks.</x:v>
      </x:c>
      <x:c r="B4" s="3"/>
      <x:c r="C4" s="3"/>
      <x:c r="D4" s="3"/>
      <x:c r="E4" s="3"/>
      <x:c r="F4" s="3"/>
      <x:c r="G4" s="3"/>
      <x:c r="H4" s="3"/>
      <x:c r="I4" s="3"/>
    </x:row>
    <x:row r="5" ht="30" customHeight="1">
      <x:c r="A5" s="3"/>
      <x:c r="B5" s="3"/>
      <x:c r="C5" s="3"/>
      <x:c r="D5" s="3"/>
      <x:c r="E5" s="3"/>
      <x:c r="F5" s="3"/>
      <x:c r="G5" s="3"/>
      <x:c r="H5" s="3"/>
      <x:c r="I5" s="3"/>
    </x:row>
    <x:row r="6" ht="42" customHeight="1">
      <x:c r="A6" s="18" t="str">
        <x:v>Field</x:v>
      </x:c>
      <x:c r="B6" s="22" t="str">
        <x:v>Prompt</x:v>
      </x:c>
      <x:c r="C6" s="19" t="str">
        <x:v>Your review</x:v>
      </x:c>
      <x:c r="D6" s="3"/>
      <x:c r="E6" s="3"/>
      <x:c r="F6" s="3"/>
      <x:c r="G6" s="3"/>
      <x:c r="H6" s="3"/>
      <x:c r="I6" s="3"/>
    </x:row>
    <x:row r="7" ht="58" customHeight="1">
      <x:c r="A7" s="10" t="str">
        <x:v>Decision or question</x:v>
      </x:c>
      <x:c r="B7" s="10" t="str">
        <x:v>What must this review help someone decide?</x:v>
      </x:c>
      <x:c r="C7" s="23"/>
      <x:c r="D7" s="3"/>
      <x:c r="E7" s="3"/>
      <x:c r="F7" s="3"/>
      <x:c r="G7" s="3"/>
      <x:c r="H7" s="3"/>
      <x:c r="I7" s="3"/>
    </x:row>
    <x:row r="8" ht="58" customHeight="1">
      <x:c r="A8" s="11" t="str">
        <x:v>Site or area alias</x:v>
      </x:c>
      <x:c r="B8" s="11" t="str">
        <x:v>Which operation or area is in scope?</x:v>
      </x:c>
      <x:c r="C8" s="24"/>
      <x:c r="D8" s="3"/>
      <x:c r="E8" s="3"/>
      <x:c r="F8" s="3"/>
      <x:c r="G8" s="3"/>
      <x:c r="H8" s="3"/>
      <x:c r="I8" s="3"/>
    </x:row>
    <x:row r="9" ht="58" customHeight="1">
      <x:c r="A9" s="11" t="str">
        <x:v>Review date or period</x:v>
      </x:c>
      <x:c r="B9" s="11" t="str">
        <x:v>Which dates and comparison points apply?</x:v>
      </x:c>
      <x:c r="C9" s="24"/>
      <x:c r="D9" s="3"/>
      <x:c r="E9" s="3"/>
      <x:c r="F9" s="3"/>
      <x:c r="G9" s="3"/>
      <x:c r="H9" s="3"/>
      <x:c r="I9" s="3"/>
    </x:row>
    <x:row r="10" ht="58" customHeight="1">
      <x:c r="A10" s="11" t="str">
        <x:v>Operating conditions</x:v>
      </x:c>
      <x:c r="B10" s="11" t="str">
        <x:v>Which shifts, workloads or relevant changes will be examined?</x:v>
      </x:c>
      <x:c r="C10" s="24"/>
      <x:c r="D10" s="3"/>
      <x:c r="E10" s="3"/>
      <x:c r="F10" s="3"/>
      <x:c r="G10" s="3"/>
      <x:c r="H10" s="3"/>
      <x:c r="I10" s="3"/>
    </x:row>
    <x:row r="11" ht="58" customHeight="1">
      <x:c r="A11" s="11" t="str">
        <x:v>Coverage and sample</x:v>
      </x:c>
      <x:c r="B11" s="11" t="str">
        <x:v>Record the selected checks, goods, locations and transactions.</x:v>
      </x:c>
      <x:c r="C11" s="24"/>
      <x:c r="D11" s="3"/>
      <x:c r="E11" s="3"/>
      <x:c r="F11" s="3"/>
      <x:c r="G11" s="3"/>
      <x:c r="H11" s="3"/>
      <x:c r="I11" s="3"/>
    </x:row>
    <x:row r="12" ht="58" customHeight="1">
      <x:c r="A12" s="11" t="str">
        <x:v>Exclusions and limits</x:v>
      </x:c>
      <x:c r="B12" s="11" t="str">
        <x:v>What will not be examined, and why?</x:v>
      </x:c>
      <x:c r="C12" s="24"/>
      <x:c r="D12" s="3"/>
      <x:c r="E12" s="3"/>
      <x:c r="F12" s="3"/>
      <x:c r="G12" s="3"/>
      <x:c r="H12" s="3"/>
      <x:c r="I12" s="3"/>
    </x:row>
    <x:row r="13" ht="58" customHeight="1">
      <x:c r="A13" s="11" t="str">
        <x:v>Criteria and versions</x:v>
      </x:c>
      <x:c r="B13" s="11" t="str">
        <x:v>Name each requirement, its version and the checks it applies to. Mark unknowns Not yet established.</x:v>
      </x:c>
      <x:c r="C13" s="24"/>
      <x:c r="D13" s="3"/>
      <x:c r="E13" s="3"/>
      <x:c r="F13" s="3"/>
      <x:c r="G13" s="3"/>
      <x:c r="H13" s="3"/>
      <x:c r="I13" s="3"/>
    </x:row>
    <x:row r="14" ht="58" customHeight="1">
      <x:c r="A14" s="11" t="str">
        <x:v>Reviewer and evidence providers</x:v>
      </x:c>
      <x:c r="B14" s="11" t="str">
        <x:v>Who examines the work, who supplies evidence and what competence or independence is required?</x:v>
      </x:c>
      <x:c r="C14" s="24"/>
      <x:c r="D14" s="3"/>
      <x:c r="E14" s="3"/>
      <x:c r="F14" s="3"/>
      <x:c r="G14" s="3"/>
      <x:c r="H14" s="3"/>
      <x:c r="I14" s="3"/>
    </x:row>
    <x:row r="15" ht="58" customHeight="1">
      <x:c r="A15" s="11" t="str">
        <x:v>Action responsibilities</x:v>
      </x:c>
      <x:c r="B15" s="11" t="str">
        <x:v>Who can investigate, correct the record or change the process?</x:v>
      </x:c>
      <x:c r="C15" s="24"/>
      <x:c r="D15" s="3"/>
      <x:c r="E15" s="3"/>
      <x:c r="F15" s="3"/>
      <x:c r="G15" s="3"/>
      <x:c r="H15" s="3"/>
      <x:c r="I15" s="3"/>
    </x:row>
    <x:row r="16" ht="58" customHeight="1">
      <x:c r="A16" s="11" t="str">
        <x:v>Decision owner</x:v>
      </x:c>
      <x:c r="B16" s="11" t="str">
        <x:v>Who can approve the required decision, resources or change?</x:v>
      </x:c>
      <x:c r="C16" s="24"/>
      <x:c r="D16" s="3"/>
      <x:c r="E16" s="3"/>
      <x:c r="F16" s="3"/>
      <x:c r="G16" s="3"/>
      <x:c r="H16" s="3"/>
      <x:c r="I16" s="3"/>
    </x:row>
    <x:row r="17" ht="30" customHeight="1">
      <x:c r="A17" s="3"/>
      <x:c r="B17" s="3"/>
      <x:c r="C17" s="3"/>
      <x:c r="D17" s="3"/>
      <x:c r="E17" s="3"/>
      <x:c r="F17" s="3"/>
      <x:c r="G17" s="3"/>
      <x:c r="H17" s="3"/>
      <x:c r="I17" s="3"/>
    </x:row>
    <x:row r="18" ht="30" customHeight="1">
      <x:c r="A18" s="3"/>
      <x:c r="B18" s="3"/>
      <x:c r="C18" s="3"/>
      <x:c r="D18" s="3"/>
      <x:c r="E18" s="3"/>
      <x:c r="F18" s="3"/>
      <x:c r="G18" s="3"/>
      <x:c r="H18" s="3"/>
      <x:c r="I18" s="3"/>
    </x:row>
    <x:row r="19" ht="26" customHeight="1">
      <x:c r="A19" s="9" t="str">
        <x:v>Criteria register</x:v>
      </x:c>
      <x:c r="B19" s="3"/>
      <x:c r="C19" s="3"/>
      <x:c r="D19" s="3"/>
      <x:c r="E19" s="3"/>
      <x:c r="F19" s="3"/>
      <x:c r="G19" s="3"/>
      <x:c r="H19" s="3"/>
      <x:c r="I19" s="3"/>
    </x:row>
    <x:row r="20" ht="30" customHeight="1">
      <x:c r="A20" s="8" t="str">
        <x:v>Assign each reference ID explicitly in the check register. Unknown criteria remain Not yet established.</x:v>
      </x:c>
      <x:c r="B20" s="3"/>
      <x:c r="C20" s="3"/>
      <x:c r="D20" s="3"/>
      <x:c r="E20" s="3"/>
      <x:c r="F20" s="3"/>
      <x:c r="G20" s="3"/>
      <x:c r="H20" s="3"/>
      <x:c r="I20" s="3"/>
    </x:row>
    <x:row r="21" ht="30" customHeight="1">
      <x:c r="A21" s="3"/>
      <x:c r="B21" s="3"/>
      <x:c r="C21" s="3"/>
      <x:c r="D21" s="3"/>
      <x:c r="E21" s="3"/>
      <x:c r="F21" s="3"/>
      <x:c r="G21" s="3"/>
      <x:c r="H21" s="3"/>
      <x:c r="I21" s="3"/>
    </x:row>
    <x:row r="22" ht="42" customHeight="1">
      <x:c r="A22" s="18" t="str">
        <x:v>Reference ID</x:v>
      </x:c>
      <x:c r="B22" s="22" t="str">
        <x:v>Requirement and version</x:v>
      </x:c>
      <x:c r="C22" s="22" t="str">
        <x:v>Assigned check IDs</x:v>
      </x:c>
      <x:c r="D22" s="22" t="str">
        <x:v>Responsible owner</x:v>
      </x:c>
      <x:c r="E22" s="22" t="str">
        <x:v>Evidence requested from</x:v>
      </x:c>
      <x:c r="F22" s="22" t="str">
        <x:v>Requested date</x:v>
      </x:c>
      <x:c r="G22" s="22" t="str">
        <x:v>Needed by</x:v>
      </x:c>
      <x:c r="H22" s="22" t="str">
        <x:v>Request state</x:v>
      </x:c>
      <x:c r="I22" s="19" t="str">
        <x:v>Evidence reference / outstanding question</x:v>
      </x:c>
    </x:row>
    <x:row r="23" ht="60" customHeight="1">
      <x:c r="A23" s="23"/>
      <x:c r="B23" s="23"/>
      <x:c r="C23" s="23"/>
      <x:c r="D23" s="23"/>
      <x:c r="E23" s="23"/>
      <x:c r="F23" s="25"/>
      <x:c r="G23" s="25"/>
      <x:c r="H23" s="23"/>
      <x:c r="I23" s="23"/>
    </x:row>
    <x:row r="24" ht="60" customHeight="1">
      <x:c r="A24" s="24"/>
      <x:c r="B24" s="24"/>
      <x:c r="C24" s="24"/>
      <x:c r="D24" s="24"/>
      <x:c r="E24" s="24"/>
      <x:c r="F24" s="26"/>
      <x:c r="G24" s="26"/>
      <x:c r="H24" s="24"/>
      <x:c r="I24" s="24"/>
    </x:row>
    <x:row r="25" ht="60" customHeight="1">
      <x:c r="A25" s="24"/>
      <x:c r="B25" s="24"/>
      <x:c r="C25" s="24"/>
      <x:c r="D25" s="24"/>
      <x:c r="E25" s="24"/>
      <x:c r="F25" s="26"/>
      <x:c r="G25" s="26"/>
      <x:c r="H25" s="24"/>
      <x:c r="I25" s="24"/>
    </x:row>
    <x:row r="26" ht="60" customHeight="1">
      <x:c r="A26" s="24"/>
      <x:c r="B26" s="24"/>
      <x:c r="C26" s="24"/>
      <x:c r="D26" s="24"/>
      <x:c r="E26" s="24"/>
      <x:c r="F26" s="26"/>
      <x:c r="G26" s="26"/>
      <x:c r="H26" s="24"/>
      <x:c r="I26" s="24"/>
    </x:row>
    <x:row r="27" ht="60" customHeight="1">
      <x:c r="A27" s="24"/>
      <x:c r="B27" s="24"/>
      <x:c r="C27" s="24"/>
      <x:c r="D27" s="24"/>
      <x:c r="E27" s="24"/>
      <x:c r="F27" s="26"/>
      <x:c r="G27" s="26"/>
      <x:c r="H27" s="24"/>
      <x:c r="I27" s="24"/>
    </x:row>
    <x:row r="28" ht="60" customHeight="1">
      <x:c r="A28" s="24"/>
      <x:c r="B28" s="24"/>
      <x:c r="C28" s="24"/>
      <x:c r="D28" s="24"/>
      <x:c r="E28" s="24"/>
      <x:c r="F28" s="26"/>
      <x:c r="G28" s="26"/>
      <x:c r="H28" s="24"/>
      <x:c r="I28" s="24"/>
    </x:row>
    <x:row r="29" ht="60" customHeight="1">
      <x:c r="A29" s="24"/>
      <x:c r="B29" s="24"/>
      <x:c r="C29" s="24"/>
      <x:c r="D29" s="24"/>
      <x:c r="E29" s="24"/>
      <x:c r="F29" s="26"/>
      <x:c r="G29" s="26"/>
      <x:c r="H29" s="24"/>
      <x:c r="I29" s="24"/>
    </x:row>
    <x:row r="30" ht="60" customHeight="1">
      <x:c r="A30" s="24"/>
      <x:c r="B30" s="24"/>
      <x:c r="C30" s="24"/>
      <x:c r="D30" s="24"/>
      <x:c r="E30" s="24"/>
      <x:c r="F30" s="26"/>
      <x:c r="G30" s="26"/>
      <x:c r="H30" s="24"/>
      <x:c r="I30" s="24"/>
    </x:row>
    <x:row r="31" ht="30" customHeight="1">
      <x:c r="A31" s="3"/>
      <x:c r="B31" s="3"/>
      <x:c r="C31" s="3"/>
      <x:c r="D31" s="3"/>
      <x:c r="E31" s="3"/>
      <x:c r="F31" s="3"/>
      <x:c r="G31" s="3"/>
      <x:c r="H31" s="3"/>
      <x:c r="I31" s="3"/>
    </x:row>
    <x:row r="32" ht="30" customHeight="1">
      <x:c r="A32" s="3"/>
      <x:c r="B32" s="3"/>
      <x:c r="C32" s="3"/>
      <x:c r="D32" s="3"/>
      <x:c r="E32" s="3"/>
      <x:c r="F32" s="3"/>
      <x:c r="G32" s="3"/>
      <x:c r="H32" s="3"/>
      <x:c r="I32" s="3"/>
    </x:row>
    <x:row r="33" ht="26" customHeight="1">
      <x:c r="A33" s="9" t="str">
        <x:v>Exclusions and evidence requests</x:v>
      </x:c>
      <x:c r="B33" s="3"/>
      <x:c r="C33" s="3"/>
      <x:c r="D33" s="3"/>
      <x:c r="E33" s="3"/>
      <x:c r="F33" s="3"/>
      <x:c r="G33" s="3"/>
      <x:c r="H33" s="3"/>
      <x:c r="I33" s="3"/>
    </x:row>
    <x:row r="34" ht="30" customHeight="1">
      <x:c r="A34" s="3"/>
      <x:c r="B34" s="3"/>
      <x:c r="C34" s="3"/>
      <x:c r="D34" s="3"/>
      <x:c r="E34" s="3"/>
      <x:c r="F34" s="3"/>
      <x:c r="G34" s="3"/>
      <x:c r="H34" s="3"/>
      <x:c r="I34" s="3"/>
    </x:row>
    <x:row r="35" ht="42" customHeight="1">
      <x:c r="A35" s="18" t="str">
        <x:v>Check / area ID</x:v>
      </x:c>
      <x:c r="B35" s="22" t="str">
        <x:v>Excluded coverage or missing evidence</x:v>
      </x:c>
      <x:c r="C35" s="22" t="str">
        <x:v>Reason / question to resolve</x:v>
      </x:c>
      <x:c r="D35" s="22" t="str">
        <x:v>Responsible owner</x:v>
      </x:c>
      <x:c r="E35" s="22" t="str">
        <x:v>Target date</x:v>
      </x:c>
      <x:c r="F35" s="19" t="str">
        <x:v>State</x:v>
      </x:c>
      <x:c r="G35" s="3"/>
      <x:c r="H35" s="3"/>
      <x:c r="I35" s="3"/>
    </x:row>
    <x:row r="36" ht="58" customHeight="1">
      <x:c r="A36" s="23"/>
      <x:c r="B36" s="23"/>
      <x:c r="C36" s="23"/>
      <x:c r="D36" s="23"/>
      <x:c r="E36" s="25"/>
      <x:c r="F36" s="23"/>
      <x:c r="G36" s="3"/>
      <x:c r="H36" s="3"/>
      <x:c r="I36" s="3"/>
    </x:row>
    <x:row r="37" ht="58" customHeight="1">
      <x:c r="A37" s="24"/>
      <x:c r="B37" s="24"/>
      <x:c r="C37" s="24"/>
      <x:c r="D37" s="24"/>
      <x:c r="E37" s="26"/>
      <x:c r="F37" s="24"/>
      <x:c r="G37" s="3"/>
      <x:c r="H37" s="3"/>
      <x:c r="I37" s="3"/>
    </x:row>
    <x:row r="38" ht="58" customHeight="1">
      <x:c r="A38" s="24"/>
      <x:c r="B38" s="24"/>
      <x:c r="C38" s="24"/>
      <x:c r="D38" s="24"/>
      <x:c r="E38" s="26"/>
      <x:c r="F38" s="24"/>
      <x:c r="G38" s="3"/>
      <x:c r="H38" s="3"/>
      <x:c r="I38" s="3"/>
    </x:row>
    <x:row r="39" ht="58" customHeight="1">
      <x:c r="A39" s="24"/>
      <x:c r="B39" s="24"/>
      <x:c r="C39" s="24"/>
      <x:c r="D39" s="24"/>
      <x:c r="E39" s="26"/>
      <x:c r="F39" s="24"/>
      <x:c r="G39" s="3"/>
      <x:c r="H39" s="3"/>
      <x:c r="I39" s="3"/>
    </x:row>
    <x:row r="40" ht="58" customHeight="1">
      <x:c r="A40" s="24"/>
      <x:c r="B40" s="24"/>
      <x:c r="C40" s="24"/>
      <x:c r="D40" s="24"/>
      <x:c r="E40" s="26"/>
      <x:c r="F40" s="24"/>
      <x:c r="G40" s="3"/>
      <x:c r="H40" s="3"/>
      <x:c r="I40" s="3"/>
    </x:row>
    <x:row r="41" ht="58" customHeight="1">
      <x:c r="A41" s="24"/>
      <x:c r="B41" s="24"/>
      <x:c r="C41" s="24"/>
      <x:c r="D41" s="24"/>
      <x:c r="E41" s="26"/>
      <x:c r="F41" s="24"/>
      <x:c r="G41" s="3"/>
      <x:c r="H41" s="3"/>
      <x:c r="I41" s="3"/>
    </x:row>
    <x:row r="42" ht="58" customHeight="1">
      <x:c r="A42" s="24"/>
      <x:c r="B42" s="24"/>
      <x:c r="C42" s="24"/>
      <x:c r="D42" s="24"/>
      <x:c r="E42" s="26"/>
      <x:c r="F42" s="24"/>
      <x:c r="G42" s="3"/>
      <x:c r="H42" s="3"/>
      <x:c r="I42" s="3"/>
    </x:row>
    <x:row r="43" ht="58" customHeight="1">
      <x:c r="A43" s="24"/>
      <x:c r="B43" s="24"/>
      <x:c r="C43" s="24"/>
      <x:c r="D43" s="24"/>
      <x:c r="E43" s="26"/>
      <x:c r="F43" s="24"/>
      <x:c r="G43" s="3"/>
      <x:c r="H43" s="3"/>
      <x:c r="I43" s="3"/>
    </x:row>
    <x:row r="44" ht="30" customHeight="1">
      <x:c r="A44" s="3"/>
      <x:c r="B44" s="3"/>
      <x:c r="C44" s="3"/>
      <x:c r="D44" s="3"/>
      <x:c r="E44" s="3"/>
      <x:c r="F44" s="3"/>
      <x:c r="G44" s="3"/>
      <x:c r="H44" s="3"/>
      <x:c r="I44" s="3"/>
    </x:row>
  </x:sheetData>
  <x:mergeCells>
    <x:mergeCell ref="A2:D2"/>
  </x:mergeCells>
  <x:dataValidations count="1">
    <x:dataValidation type="list" sqref="H23:H30">
      <x:formula1>"Not requested,Requested,Part received,Received,Unresolved"</x:formula1>
    </x:dataValidation>
  </x:dataValidations>
  <x:pageMargins left="0.7" right="0.7" top="0.75" bottom="0.75" header="0.3" footer="0.3"/>
  <x:tableParts count="3">
    <x:tablePart xmlns:r="http://schemas.openxmlformats.org/officeDocument/2006/relationships" r:id="R8cc7513b8fc7430b"/>
    <x:tablePart xmlns:r="http://schemas.openxmlformats.org/officeDocument/2006/relationships" r:id="Rf6fbfdd33eba4f6c"/>
    <x:tablePart xmlns:r="http://schemas.openxmlformats.org/officeDocument/2006/relationships" r:id="R0a4e19949f374157"/>
  </x:tableParts>
</x:worksheet>
</file>

<file path=xl/worksheets/sheet3.xml><?xml version="1.0" encoding="utf-8"?>
<worksheet xmlns="http://schemas.openxmlformats.org/spreadsheetml/2006/main" xmlns:r="http://schemas.openxmlformats.org/officeDocument/2006/relationships">
  <sheetViews>
    <sheetView showGridLines="0" workbookViewId="0">
      <pane xSplit="2" ySplit="7" topLeftCell="C8" activePane="bottomRight" state="frozen"/>
    </sheetView>
  </sheetViews>
  <sheetFormatPr defaultRowHeight="15"/>
  <cols>
    <col min="1" max="1" width="12" hidden="0" customWidth="1"/>
    <col min="2" max="2" width="28" hidden="0" customWidth="1"/>
    <col min="3" max="3" width="64" hidden="0" customWidth="1"/>
    <col min="4" max="4" width="18" hidden="0" customWidth="1"/>
    <col min="5" max="5" width="37" hidden="0" customWidth="1"/>
    <col min="6" max="6" width="37" hidden="0" customWidth="1"/>
    <col min="7" max="7" width="62" hidden="0" customWidth="1"/>
    <col min="8" max="8" width="34" hidden="0" customWidth="1"/>
    <col min="9" max="9" width="42" hidden="0" customWidth="1"/>
    <col min="10" max="10" width="20" hidden="0" customWidth="1"/>
    <col min="11" max="11" width="53" hidden="0" customWidth="1"/>
  </cols>
  <sheetData>
    <row r="1" ht="30" customHeight="1">
      <c r="A1" s="3"/>
      <c r="B1" s="3"/>
      <c r="C1" s="3"/>
      <c r="D1" s="3"/>
      <c r="E1" s="3"/>
      <c r="F1" s="3"/>
      <c r="G1" s="3"/>
      <c r="H1" s="3"/>
      <c r="I1" s="3"/>
      <c r="J1" s="3"/>
      <c r="K1" s="3"/>
    </row>
    <row r="2" ht="36" customHeight="1">
      <c r="A2" s="4" t="str">
        <v>Checklist and evidence</v>
      </c>
      <c r="B2" s="3"/>
      <c r="C2" s="3"/>
      <c r="D2" s="3"/>
      <c r="E2" s="3"/>
      <c r="F2" s="3"/>
      <c r="G2" s="3"/>
      <c r="H2" s="3"/>
      <c r="I2" s="3"/>
      <c r="J2" s="3"/>
      <c r="K2" s="3"/>
    </row>
    <row r="3" ht="30" customHeight="1">
      <c r="A3" s="5"/>
      <c r="B3" s="5"/>
      <c r="C3" s="5"/>
      <c r="D3" s="5"/>
      <c r="E3" s="3"/>
      <c r="F3" s="3"/>
      <c r="G3" s="3"/>
      <c r="H3" s="3"/>
      <c r="I3" s="3"/>
      <c r="J3" s="3"/>
      <c r="K3" s="3"/>
    </row>
    <row r="4" ht="30" customHeight="1">
      <c r="A4" s="8" t="str">
        <v>Select a scope choice. Open a question for its starter prompts. Add the actual criterion and evidence in the peach cells.</v>
      </c>
      <c r="B4" s="3"/>
      <c r="C4" s="3"/>
      <c r="D4" s="3"/>
      <c r="E4" s="3"/>
      <c r="F4" s="3"/>
      <c r="G4" s="3"/>
      <c r="H4" s="3"/>
      <c r="I4" s="3"/>
      <c r="J4" s="3"/>
      <c r="K4" s="3"/>
    </row>
    <row r="5" ht="30" customHeight="1">
      <c r="A5" s="8" t="str">
        <v>Use roles and short record references. Blank status means Not reviewed. Scope limits are recorded on Scope and criteria.</v>
      </c>
      <c r="B5" s="3"/>
      <c r="C5" s="3"/>
      <c r="D5" s="3"/>
      <c r="E5" s="3"/>
      <c r="F5" s="3"/>
      <c r="G5" s="3"/>
      <c r="H5" s="3"/>
      <c r="I5" s="3"/>
      <c r="J5" s="3"/>
      <c r="K5" s="3"/>
    </row>
    <row r="6" ht="30" customHeight="1">
      <c r="A6" s="3"/>
      <c r="B6" s="3"/>
      <c r="C6" s="3"/>
      <c r="D6" s="3"/>
      <c r="E6" s="3"/>
      <c r="F6" s="3"/>
      <c r="G6" s="3"/>
      <c r="H6" s="3"/>
      <c r="I6" s="3"/>
      <c r="J6" s="3"/>
      <c r="K6" s="3"/>
    </row>
    <row r="7" ht="42" customHeight="1">
      <c r="A7" s="18" t="str">
        <v>Check ID</v>
      </c>
      <c r="B7" s="22" t="str">
        <v>Area</v>
      </c>
      <c r="C7" s="22" t="str">
        <v>Check question / starter prompts</v>
      </c>
      <c r="D7" s="22" t="str">
        <v>Scope choice</v>
      </c>
      <c r="E7" s="22" t="str">
        <v>Applicable criterion / reference and version</v>
      </c>
      <c r="F7" s="22" t="str">
        <v>Review status</v>
      </c>
      <c r="G7" s="22" t="str">
        <v>Observation and supporting evidence</v>
      </c>
      <c r="H7" s="22" t="str">
        <v>Observation date / sample / context</v>
      </c>
      <c r="I7" s="22" t="str">
        <v>Not applicable or exclusion reason</v>
      </c>
      <c r="J7" s="22" t="str">
        <v>Finding IDs</v>
      </c>
      <c r="K7" s="19" t="str">
        <v>Review gaps</v>
      </c>
    </row>
    <row r="8" ht="102" customHeight="1">
      <c r="A8" s="10" t="str">
        <v>INV01</v>
      </c>
      <c r="B8" s="10" t="str">
        <v>Inventory accuracy and storage</v>
      </c>
      <c r="C8" s="10" t="str">
        <v>Do the quantities in selected locations agree with the inventory records for the same point in time?</v>
      </c>
      <c r="D8" s="23"/>
      <c r="E8" s="23"/>
      <c r="F8" s="23"/>
      <c r="G8" s="23"/>
      <c r="H8" s="23"/>
      <c r="I8" s="23"/>
      <c r="J8" s="23"/>
      <c r="K8" s="10" t="str">
        <f>IF(A8="","",IF(D8="","Scope not assigned. ",IF(D8="Not selected","Excluded from scope. ",""))&amp;IF(OR(F8="",F8="Not reviewed"),"Not reviewed. ","")&amp;IF(AND(D8="Selected",OR(E8="",E8="Not yet established")),"Criterion not established. ","")&amp;IF(AND(F8="Evidence supports the stated check",G8=""),"Supporting evidence not recorded. ","")&amp;IF(AND(OR(F8="Not applicable — reason recorded",D8="Not selected"),I8=""),"Reason not recorded. ","")&amp;IF(F8="Inconclusive or conflicting evidence","Evidence remains unresolved. ","")&amp;IF(AND(F8="Concern found",J8=""),"Finding / follow-up reference missing.",""))</f>
        <v>Scope not assigned. Not reviewed. </v>
      </c>
    </row>
    <row r="9" ht="102" customHeight="1">
      <c r="A9" s="11" t="str">
        <v>INV02</v>
      </c>
      <c r="B9" s="11" t="str">
        <v>Inventory accuracy and storage</v>
      </c>
      <c r="C9" s="11" t="str">
        <v>Can the team distinguish the item, storage location and handling unit without having to guess?</v>
      </c>
      <c r="D9" s="24"/>
      <c r="E9" s="24"/>
      <c r="F9" s="24"/>
      <c r="G9" s="24"/>
      <c r="H9" s="24"/>
      <c r="I9" s="24"/>
      <c r="J9" s="24"/>
      <c r="K9" s="11" t="str">
        <f>IF(A9="","",IF(D9="","Scope not assigned. ",IF(D9="Not selected","Excluded from scope. ",""))&amp;IF(OR(F9="",F9="Not reviewed"),"Not reviewed. ","")&amp;IF(AND(D9="Selected",OR(E9="",E9="Not yet established")),"Criterion not established. ","")&amp;IF(AND(F9="Evidence supports the stated check",G9=""),"Supporting evidence not recorded. ","")&amp;IF(AND(OR(F9="Not applicable — reason recorded",D9="Not selected"),I9=""),"Reason not recorded. ","")&amp;IF(F9="Inconclusive or conflicting evidence","Evidence remains unresolved. ","")&amp;IF(AND(F9="Concern found",J9=""),"Finding / follow-up reference missing.",""))</f>
        <v>Scope not assigned. Not reviewed. </v>
      </c>
    </row>
    <row r="10" ht="102" customHeight="1">
      <c r="A10" s="11" t="str">
        <v>INV03</v>
      </c>
      <c r="B10" s="11" t="str">
        <v>Inventory accuracy and storage</v>
      </c>
      <c r="C10" s="11" t="str">
        <v>When stock discrepancies return, does the team investigate what happens between counts?</v>
      </c>
      <c r="D10" s="24"/>
      <c r="E10" s="24"/>
      <c r="F10" s="24"/>
      <c r="G10" s="24"/>
      <c r="H10" s="24"/>
      <c r="I10" s="24"/>
      <c r="J10" s="24"/>
      <c r="K10" s="11" t="str">
        <f>IF(A10="","",IF(D10="","Scope not assigned. ",IF(D10="Not selected","Excluded from scope. ",""))&amp;IF(OR(F10="",F10="Not reviewed"),"Not reviewed. ","")&amp;IF(AND(D10="Selected",OR(E10="",E10="Not yet established")),"Criterion not established. ","")&amp;IF(AND(F10="Evidence supports the stated check",G10=""),"Supporting evidence not recorded. ","")&amp;IF(AND(OR(F10="Not applicable — reason recorded",D10="Not selected"),I10=""),"Reason not recorded. ","")&amp;IF(F10="Inconclusive or conflicting evidence","Evidence remains unresolved. ","")&amp;IF(AND(F10="Concern found",J10=""),"Finding / follow-up reference missing.",""))</f>
        <v>Scope not assigned. Not reviewed. </v>
      </c>
    </row>
    <row r="11" ht="102" customHeight="1">
      <c r="A11" s="11" t="str">
        <v>FLOW01</v>
      </c>
      <c r="B11" s="11" t="str">
        <v>Receiving through dispatch</v>
      </c>
      <c r="C11" s="11" t="str">
        <v>Can you trace what arrived, what was accepted and what happened to any discrepancy?</v>
      </c>
      <c r="D11" s="24"/>
      <c r="E11" s="24"/>
      <c r="F11" s="24"/>
      <c r="G11" s="24"/>
      <c r="H11" s="24"/>
      <c r="I11" s="24"/>
      <c r="J11" s="24"/>
      <c r="K11" s="11" t="str">
        <f>IF(A11="","",IF(D11="","Scope not assigned. ",IF(D11="Not selected","Excluded from scope. ",""))&amp;IF(OR(F11="",F11="Not reviewed"),"Not reviewed. ","")&amp;IF(AND(D11="Selected",OR(E11="",E11="Not yet established")),"Criterion not established. ","")&amp;IF(AND(F11="Evidence supports the stated check",G11=""),"Supporting evidence not recorded. ","")&amp;IF(AND(OR(F11="Not applicable — reason recorded",D11="Not selected"),I11=""),"Reason not recorded. ","")&amp;IF(F11="Inconclusive or conflicting evidence","Evidence remains unresolved. ","")&amp;IF(AND(F11="Concern found",J11=""),"Finding / follow-up reference missing.",""))</f>
        <v>Scope not assigned. Not reviewed. </v>
      </c>
    </row>
    <row r="12" ht="102" customHeight="1">
      <c r="A12" s="11" t="str">
        <v>FLOW02</v>
      </c>
      <c r="B12" s="11" t="str">
        <v>Receiving through dispatch</v>
      </c>
      <c r="C12" s="11" t="str">
        <v>Do accepted goods reach the intended storage location with their status and records still clear?</v>
      </c>
      <c r="D12" s="24"/>
      <c r="E12" s="24"/>
      <c r="F12" s="24"/>
      <c r="G12" s="24"/>
      <c r="H12" s="24"/>
      <c r="I12" s="24"/>
      <c r="J12" s="24"/>
      <c r="K12" s="11" t="str">
        <f>IF(A12="","",IF(D12="","Scope not assigned. ",IF(D12="Not selected","Excluded from scope. ",""))&amp;IF(OR(F12="",F12="Not reviewed"),"Not reviewed. ","")&amp;IF(AND(D12="Selected",OR(E12="",E12="Not yet established")),"Criterion not established. ","")&amp;IF(AND(F12="Evidence supports the stated check",G12=""),"Supporting evidence not recorded. ","")&amp;IF(AND(OR(F12="Not applicable — reason recorded",D12="Not selected"),I12=""),"Reason not recorded. ","")&amp;IF(F12="Inconclusive or conflicting evidence","Evidence remains unresolved. ","")&amp;IF(AND(F12="Concern found",J12=""),"Finding / follow-up reference missing.",""))</f>
        <v>Scope not assigned. Not reviewed. </v>
      </c>
    </row>
    <row r="13" ht="102" customHeight="1">
      <c r="A13" s="11" t="str">
        <v>FLOW03</v>
      </c>
      <c r="B13" s="11" t="str">
        <v>Receiving through dispatch</v>
      </c>
      <c r="C13" s="11" t="str">
        <v>Can the team connect the authorised order, prepared goods and recorded release to the same shipment?</v>
      </c>
      <c r="D13" s="24"/>
      <c r="E13" s="24"/>
      <c r="F13" s="24"/>
      <c r="G13" s="24"/>
      <c r="H13" s="24"/>
      <c r="I13" s="24"/>
      <c r="J13" s="24"/>
      <c r="K13" s="11" t="str">
        <f>IF(A13="","",IF(D13="","Scope not assigned. ",IF(D13="Not selected","Excluded from scope. ",""))&amp;IF(OR(F13="",F13="Not reviewed"),"Not reviewed. ","")&amp;IF(AND(D13="Selected",OR(E13="",E13="Not yet established")),"Criterion not established. ","")&amp;IF(AND(F13="Evidence supports the stated check",G13=""),"Supporting evidence not recorded. ","")&amp;IF(AND(OR(F13="Not applicable — reason recorded",D13="Not selected"),I13=""),"Reason not recorded. ","")&amp;IF(F13="Inconclusive or conflicting evidence","Evidence remains unresolved. ","")&amp;IF(AND(F13="Concern found",J13=""),"Finding / follow-up reference missing.",""))</f>
        <v>Scope not assigned. Not reviewed. </v>
      </c>
    </row>
    <row r="14" ht="102" customHeight="1">
      <c r="A14" s="11" t="str">
        <v>FLOW04</v>
      </c>
      <c r="B14" s="11" t="str">
        <v>Receiving through dispatch</v>
      </c>
      <c r="C14" s="11" t="str">
        <v>Does the team have the information and resources needed for the arrivals and departures it must handle?</v>
      </c>
      <c r="D14" s="24"/>
      <c r="E14" s="24"/>
      <c r="F14" s="24"/>
      <c r="G14" s="24"/>
      <c r="H14" s="24"/>
      <c r="I14" s="24"/>
      <c r="J14" s="24"/>
      <c r="K14" s="11" t="str">
        <f>IF(A14="","",IF(D14="","Scope not assigned. ",IF(D14="Not selected","Excluded from scope. ",""))&amp;IF(OR(F14="",F14="Not reviewed"),"Not reviewed. ","")&amp;IF(AND(D14="Selected",OR(E14="",E14="Not yet established")),"Criterion not established. ","")&amp;IF(AND(F14="Evidence supports the stated check",G14=""),"Supporting evidence not recorded. ","")&amp;IF(AND(OR(F14="Not applicable — reason recorded",D14="Not selected"),I14=""),"Reason not recorded. ","")&amp;IF(F14="Inconclusive or conflicting evidence","Evidence remains unresolved. ","")&amp;IF(AND(F14="Concern found",J14=""),"Finding / follow-up reference missing.",""))</f>
        <v>Scope not assigned. Not reviewed. </v>
      </c>
    </row>
    <row r="15" ht="102" customHeight="1">
      <c r="A15" s="11" t="str">
        <v>SPACE01</v>
      </c>
      <c r="B15" s="11" t="str">
        <v>Warehouse layout and flow</v>
      </c>
      <c r="C15" s="11" t="str">
        <v>Where does work queue or spill into space needed for another activity?</v>
      </c>
      <c r="D15" s="24"/>
      <c r="E15" s="24"/>
      <c r="F15" s="24"/>
      <c r="G15" s="24"/>
      <c r="H15" s="24"/>
      <c r="I15" s="24"/>
      <c r="J15" s="24"/>
      <c r="K15" s="11" t="str">
        <f>IF(A15="","",IF(D15="","Scope not assigned. ",IF(D15="Not selected","Excluded from scope. ",""))&amp;IF(OR(F15="",F15="Not reviewed"),"Not reviewed. ","")&amp;IF(AND(D15="Selected",OR(E15="",E15="Not yet established")),"Criterion not established. ","")&amp;IF(AND(F15="Evidence supports the stated check",G15=""),"Supporting evidence not recorded. ","")&amp;IF(AND(OR(F15="Not applicable — reason recorded",D15="Not selected"),I15=""),"Reason not recorded. ","")&amp;IF(F15="Inconclusive or conflicting evidence","Evidence remains unresolved. ","")&amp;IF(AND(F15="Concern found",J15=""),"Finding / follow-up reference missing.",""))</f>
        <v>Scope not assigned. Not reviewed. </v>
      </c>
    </row>
    <row r="16" ht="102" customHeight="1">
      <c r="A16" s="11" t="str">
        <v>SPACE02</v>
      </c>
      <c r="B16" s="11" t="str">
        <v>Warehouse layout and flow</v>
      </c>
      <c r="C16" s="11" t="str">
        <v>Does the placement of stock support the picking, replenishment and handling work people actually perform?</v>
      </c>
      <c r="D16" s="24"/>
      <c r="E16" s="24"/>
      <c r="F16" s="24"/>
      <c r="G16" s="24"/>
      <c r="H16" s="24"/>
      <c r="I16" s="24"/>
      <c r="J16" s="24"/>
      <c r="K16" s="11" t="str">
        <f>IF(A16="","",IF(D16="","Scope not assigned. ",IF(D16="Not selected","Excluded from scope. ",""))&amp;IF(OR(F16="",F16="Not reviewed"),"Not reviewed. ","")&amp;IF(AND(D16="Selected",OR(E16="",E16="Not yet established")),"Criterion not established. ","")&amp;IF(AND(F16="Evidence supports the stated check",G16=""),"Supporting evidence not recorded. ","")&amp;IF(AND(OR(F16="Not applicable — reason recorded",D16="Not selected"),I16=""),"Reason not recorded. ","")&amp;IF(F16="Inconclusive or conflicting evidence","Evidence remains unresolved. ","")&amp;IF(AND(F16="Concern found",J16=""),"Finding / follow-up reference missing.",""))</f>
        <v>Scope not assigned. Not reviewed. </v>
      </c>
    </row>
    <row r="17" ht="102" customHeight="1">
      <c r="A17" s="11" t="str">
        <v>SPACE03</v>
      </c>
      <c r="B17" s="11" t="str">
        <v>Warehouse layout and flow</v>
      </c>
      <c r="C17" s="11" t="str">
        <v>When clutter or obstructions return, is there a clear owner and an explanation beyond clearing them again?</v>
      </c>
      <c r="D17" s="24"/>
      <c r="E17" s="24"/>
      <c r="F17" s="24"/>
      <c r="G17" s="24"/>
      <c r="H17" s="24"/>
      <c r="I17" s="24"/>
      <c r="J17" s="24"/>
      <c r="K17" s="11" t="str">
        <f>IF(A17="","",IF(D17="","Scope not assigned. ",IF(D17="Not selected","Excluded from scope. ",""))&amp;IF(OR(F17="",F17="Not reviewed"),"Not reviewed. ","")&amp;IF(AND(D17="Selected",OR(E17="",E17="Not yet established")),"Criterion not established. ","")&amp;IF(AND(F17="Evidence supports the stated check",G17=""),"Supporting evidence not recorded. ","")&amp;IF(AND(OR(F17="Not applicable — reason recorded",D17="Not selected"),I17=""),"Reason not recorded. ","")&amp;IF(F17="Inconclusive or conflicting evidence","Evidence remains unresolved. ","")&amp;IF(AND(F17="Concern found",J17=""),"Finding / follow-up reference missing.",""))</f>
        <v>Scope not assigned. Not reviewed. </v>
      </c>
    </row>
    <row r="18" ht="102" customHeight="1">
      <c r="A18" s="11" t="str">
        <v>EQUIP01</v>
      </c>
      <c r="B18" s="11" t="str">
        <v>Equipment and machinery</v>
      </c>
      <c r="C18" s="11" t="str">
        <v>Are the equipment inspections and maintenance required for this operation identifiable, assigned and supported by records?</v>
      </c>
      <c r="D18" s="24"/>
      <c r="E18" s="24"/>
      <c r="F18" s="24"/>
      <c r="G18" s="24"/>
      <c r="H18" s="24"/>
      <c r="I18" s="24"/>
      <c r="J18" s="24"/>
      <c r="K18" s="11" t="str">
        <f>IF(A18="","",IF(D18="","Scope not assigned. ",IF(D18="Not selected","Excluded from scope. ",""))&amp;IF(OR(F18="",F18="Not reviewed"),"Not reviewed. ","")&amp;IF(AND(D18="Selected",OR(E18="",E18="Not yet established")),"Criterion not established. ","")&amp;IF(AND(F18="Evidence supports the stated check",G18=""),"Supporting evidence not recorded. ","")&amp;IF(AND(OR(F18="Not applicable — reason recorded",D18="Not selected"),I18=""),"Reason not recorded. ","")&amp;IF(F18="Inconclusive or conflicting evidence","Evidence remains unresolved. ","")&amp;IF(AND(F18="Concern found",J18=""),"Finding / follow-up reference missing.",""))</f>
        <v>Scope not assigned. Not reviewed. </v>
      </c>
    </row>
    <row r="19" ht="102" customHeight="1">
      <c r="A19" s="11" t="str">
        <v>EQUIP02</v>
      </c>
      <c r="B19" s="11" t="str">
        <v>Equipment and machinery</v>
      </c>
      <c r="C19" s="11" t="str">
        <v>Can people report an equipment defect and find out what restrictions or action apply?</v>
      </c>
      <c r="D19" s="24"/>
      <c r="E19" s="24"/>
      <c r="F19" s="24"/>
      <c r="G19" s="24"/>
      <c r="H19" s="24"/>
      <c r="I19" s="24"/>
      <c r="J19" s="24"/>
      <c r="K19" s="11" t="str">
        <f>IF(A19="","",IF(D19="","Scope not assigned. ",IF(D19="Not selected","Excluded from scope. ",""))&amp;IF(OR(F19="",F19="Not reviewed"),"Not reviewed. ","")&amp;IF(AND(D19="Selected",OR(E19="",E19="Not yet established")),"Criterion not established. ","")&amp;IF(AND(F19="Evidence supports the stated check",G19=""),"Supporting evidence not recorded. ","")&amp;IF(AND(OR(F19="Not applicable — reason recorded",D19="Not selected"),I19=""),"Reason not recorded. ","")&amp;IF(F19="Inconclusive or conflicting evidence","Evidence remains unresolved. ","")&amp;IF(AND(F19="Concern found",J19=""),"Finding / follow-up reference missing.",""))</f>
        <v>Scope not assigned. Not reviewed. </v>
      </c>
    </row>
    <row r="20" ht="102" customHeight="1">
      <c r="A20" s="11" t="str">
        <v>EQUIP03</v>
      </c>
      <c r="B20" s="11" t="str">
        <v>Equipment and machinery</v>
      </c>
      <c r="C20" s="11" t="str">
        <v>What evidence supports returning equipment to use after a reported defect or repair?</v>
      </c>
      <c r="D20" s="24"/>
      <c r="E20" s="24"/>
      <c r="F20" s="24"/>
      <c r="G20" s="24"/>
      <c r="H20" s="24"/>
      <c r="I20" s="24"/>
      <c r="J20" s="24"/>
      <c r="K20" s="11" t="str">
        <f>IF(A20="","",IF(D20="","Scope not assigned. ",IF(D20="Not selected","Excluded from scope. ",""))&amp;IF(OR(F20="",F20="Not reviewed"),"Not reviewed. ","")&amp;IF(AND(D20="Selected",OR(E20="",E20="Not yet established")),"Criterion not established. ","")&amp;IF(AND(F20="Evidence supports the stated check",G20=""),"Supporting evidence not recorded. ","")&amp;IF(AND(OR(F20="Not applicable — reason recorded",D20="Not selected"),I20=""),"Reason not recorded. ","")&amp;IF(F20="Inconclusive or conflicting evidence","Evidence remains unresolved. ","")&amp;IF(AND(F20="Concern found",J20=""),"Finding / follow-up reference missing.",""))</f>
        <v>Scope not assigned. Not reviewed. </v>
      </c>
    </row>
    <row r="21" ht="102" customHeight="1">
      <c r="A21" s="11" t="str">
        <v>PEOPLE01</v>
      </c>
      <c r="B21" s="11" t="str">
        <v>People and workplace safety</v>
      </c>
      <c r="C21" s="11" t="str">
        <v>Do the controls for identified site hazards match the work being performed?</v>
      </c>
      <c r="D21" s="24"/>
      <c r="E21" s="24"/>
      <c r="F21" s="24"/>
      <c r="G21" s="24"/>
      <c r="H21" s="24"/>
      <c r="I21" s="24"/>
      <c r="J21" s="24"/>
      <c r="K21" s="11" t="str">
        <f>IF(A21="","",IF(D21="","Scope not assigned. ",IF(D21="Not selected","Excluded from scope. ",""))&amp;IF(OR(F21="",F21="Not reviewed"),"Not reviewed. ","")&amp;IF(AND(D21="Selected",OR(E21="",E21="Not yet established")),"Criterion not established. ","")&amp;IF(AND(F21="Evidence supports the stated check",G21=""),"Supporting evidence not recorded. ","")&amp;IF(AND(OR(F21="Not applicable — reason recorded",D21="Not selected"),I21=""),"Reason not recorded. ","")&amp;IF(F21="Inconclusive or conflicting evidence","Evidence remains unresolved. ","")&amp;IF(AND(F21="Concern found",J21=""),"Finding / follow-up reference missing.",""))</f>
        <v>Scope not assigned. Not reviewed. </v>
      </c>
    </row>
    <row r="22" ht="102" customHeight="1">
      <c r="A22" s="11" t="str">
        <v>PEOPLE02</v>
      </c>
      <c r="B22" s="11" t="str">
        <v>People and workplace safety</v>
      </c>
      <c r="C22" s="11" t="str">
        <v>Do people know how to perform their assigned work and pass unresolved issues to the next responsible person?</v>
      </c>
      <c r="D22" s="24"/>
      <c r="E22" s="24"/>
      <c r="F22" s="24"/>
      <c r="G22" s="24"/>
      <c r="H22" s="24"/>
      <c r="I22" s="24"/>
      <c r="J22" s="24"/>
      <c r="K22" s="11" t="str">
        <f>IF(A22="","",IF(D22="","Scope not assigned. ",IF(D22="Not selected","Excluded from scope. ",""))&amp;IF(OR(F22="",F22="Not reviewed"),"Not reviewed. ","")&amp;IF(AND(D22="Selected",OR(E22="",E22="Not yet established")),"Criterion not established. ","")&amp;IF(AND(F22="Evidence supports the stated check",G22=""),"Supporting evidence not recorded. ","")&amp;IF(AND(OR(F22="Not applicable — reason recorded",D22="Not selected"),I22=""),"Reason not recorded. ","")&amp;IF(F22="Inconclusive or conflicting evidence","Evidence remains unresolved. ","")&amp;IF(AND(F22="Concern found",J22=""),"Finding / follow-up reference missing.",""))</f>
        <v>Scope not assigned. Not reviewed. </v>
      </c>
    </row>
    <row r="23" ht="102" customHeight="1">
      <c r="A23" s="11" t="str">
        <v>PEOPLE03</v>
      </c>
      <c r="B23" s="11" t="str">
        <v>People and workplace safety</v>
      </c>
      <c r="C23" s="11" t="str">
        <v>What makes it difficult for people to follow the agreed process or report a problem?</v>
      </c>
      <c r="D23" s="24"/>
      <c r="E23" s="24"/>
      <c r="F23" s="24"/>
      <c r="G23" s="24"/>
      <c r="H23" s="24"/>
      <c r="I23" s="24"/>
      <c r="J23" s="24"/>
      <c r="K23" s="11" t="str">
        <f>IF(A23="","",IF(D23="","Scope not assigned. ",IF(D23="Not selected","Excluded from scope. ",""))&amp;IF(OR(F23="",F23="Not reviewed"),"Not reviewed. ","")&amp;IF(AND(D23="Selected",OR(E23="",E23="Not yet established")),"Criterion not established. ","")&amp;IF(AND(F23="Evidence supports the stated check",G23=""),"Supporting evidence not recorded. ","")&amp;IF(AND(OR(F23="Not applicable — reason recorded",D23="Not selected"),I23=""),"Reason not recorded. ","")&amp;IF(F23="Inconclusive or conflicting evidence","Evidence remains unresolved. ","")&amp;IF(AND(F23="Concern found",J23=""),"Finding / follow-up reference missing.",""))</f>
        <v>Scope not assigned. Not reviewed. </v>
      </c>
    </row>
    <row r="24" ht="102" customHeight="1">
      <c r="A24" s="11" t="str">
        <v>GOODS01</v>
      </c>
      <c r="B24" s="11" t="str">
        <v>Goods protection and specific requirements</v>
      </c>
      <c r="C24" s="11" t="str">
        <v>Can the operation account for who had custody of selected goods and how unexplained losses are handled?</v>
      </c>
      <c r="D24" s="24"/>
      <c r="E24" s="24"/>
      <c r="F24" s="24"/>
      <c r="G24" s="24"/>
      <c r="H24" s="24"/>
      <c r="I24" s="24"/>
      <c r="J24" s="24"/>
      <c r="K24" s="11" t="str">
        <f>IF(A24="","",IF(D24="","Scope not assigned. ",IF(D24="Not selected","Excluded from scope. ",""))&amp;IF(OR(F24="",F24="Not reviewed"),"Not reviewed. ","")&amp;IF(AND(D24="Selected",OR(E24="",E24="Not yet established")),"Criterion not established. ","")&amp;IF(AND(F24="Evidence supports the stated check",G24=""),"Supporting evidence not recorded. ","")&amp;IF(AND(OR(F24="Not applicable — reason recorded",D24="Not selected"),I24=""),"Reason not recorded. ","")&amp;IF(F24="Inconclusive or conflicting evidence","Evidence remains unresolved. ","")&amp;IF(AND(F24="Concern found",J24=""),"Finding / follow-up reference missing.",""))</f>
        <v>Scope not assigned. Not reviewed. </v>
      </c>
    </row>
    <row r="25" ht="102" customHeight="1">
      <c r="A25" s="11" t="str">
        <v>GOODS02</v>
      </c>
      <c r="B25" s="11" t="str">
        <v>Goods protection and specific requirements</v>
      </c>
      <c r="C25" s="11" t="str">
        <v>Can the team establish the identity, recorded condition and relevant movement history of selected goods?</v>
      </c>
      <c r="D25" s="24"/>
      <c r="E25" s="24"/>
      <c r="F25" s="24"/>
      <c r="G25" s="24"/>
      <c r="H25" s="24"/>
      <c r="I25" s="24"/>
      <c r="J25" s="24"/>
      <c r="K25" s="11" t="str">
        <f>IF(A25="","",IF(D25="","Scope not assigned. ",IF(D25="Not selected","Excluded from scope. ",""))&amp;IF(OR(F25="",F25="Not reviewed"),"Not reviewed. ","")&amp;IF(AND(D25="Selected",OR(E25="",E25="Not yet established")),"Criterion not established. ","")&amp;IF(AND(F25="Evidence supports the stated check",G25=""),"Supporting evidence not recorded. ","")&amp;IF(AND(OR(F25="Not applicable — reason recorded",D25="Not selected"),I25=""),"Reason not recorded. ","")&amp;IF(F25="Inconclusive or conflicting evidence","Evidence remains unresolved. ","")&amp;IF(AND(F25="Concern found",J25=""),"Finding / follow-up reference missing.",""))</f>
        <v>Scope not assigned. Not reviewed. </v>
      </c>
    </row>
    <row r="26" ht="102" customHeight="1">
      <c r="A26" s="11" t="str">
        <v>GOODS03</v>
      </c>
      <c r="B26" s="11" t="str">
        <v>Goods protection and specific requirements</v>
      </c>
      <c r="C26" s="11" t="str">
        <v>Where controlled goods or customs arrangements apply, can the team identify the requirements and produce the relevant evidence?</v>
      </c>
      <c r="D26" s="24"/>
      <c r="E26" s="24"/>
      <c r="F26" s="24"/>
      <c r="G26" s="24"/>
      <c r="H26" s="24"/>
      <c r="I26" s="24"/>
      <c r="J26" s="24"/>
      <c r="K26" s="11" t="str">
        <f>IF(A26="","",IF(D26="","Scope not assigned. ",IF(D26="Not selected","Excluded from scope. ",""))&amp;IF(OR(F26="",F26="Not reviewed"),"Not reviewed. ","")&amp;IF(AND(D26="Selected",OR(E26="",E26="Not yet established")),"Criterion not established. ","")&amp;IF(AND(F26="Evidence supports the stated check",G26=""),"Supporting evidence not recorded. ","")&amp;IF(AND(OR(F26="Not applicable — reason recorded",D26="Not selected"),I26=""),"Reason not recorded. ","")&amp;IF(F26="Inconclusive or conflicting evidence","Evidence remains unresolved. ","")&amp;IF(AND(F26="Concern found",J26=""),"Finding / follow-up reference missing.",""))</f>
        <v>Scope not assigned. Not reviewed. </v>
      </c>
    </row>
    <row r="27" ht="102" customHeight="1">
      <c r="A27" s="11" t="str">
        <v>GOODS04</v>
      </c>
      <c r="B27" s="11" t="str">
        <v>Goods protection and specific requirements</v>
      </c>
      <c r="C27" s="11" t="str">
        <v>Are relevant storage conditions and environmental responsibilities defined, monitored and acted on when something goes wrong?</v>
      </c>
      <c r="D27" s="24"/>
      <c r="E27" s="24"/>
      <c r="F27" s="24"/>
      <c r="G27" s="24"/>
      <c r="H27" s="24"/>
      <c r="I27" s="24"/>
      <c r="J27" s="24"/>
      <c r="K27" s="11" t="str">
        <f>IF(A27="","",IF(D27="","Scope not assigned. ",IF(D27="Not selected","Excluded from scope. ",""))&amp;IF(OR(F27="",F27="Not reviewed"),"Not reviewed. ","")&amp;IF(AND(D27="Selected",OR(E27="",E27="Not yet established")),"Criterion not established. ","")&amp;IF(AND(F27="Evidence supports the stated check",G27=""),"Supporting evidence not recorded. ","")&amp;IF(AND(OR(F27="Not applicable — reason recorded",D27="Not selected"),I27=""),"Reason not recorded. ","")&amp;IF(F27="Inconclusive or conflicting evidence","Evidence remains unresolved. ","")&amp;IF(AND(F27="Concern found",J27=""),"Finding / follow-up reference missing.",""))</f>
        <v>Scope not assigned. Not reviewed. </v>
      </c>
    </row>
    <row r="28" ht="102" customHeight="1">
      <c r="A28" s="11" t="str">
        <v>CONTROL01</v>
      </c>
      <c r="B28" s="11" t="str">
        <v>Financial controls and warehouse providers</v>
      </c>
      <c r="C28" s="11" t="str">
        <v>Can each selected inventory adjustment or write-off be explained and linked to the authority required for it?</v>
      </c>
      <c r="D28" s="24"/>
      <c r="E28" s="24"/>
      <c r="F28" s="24"/>
      <c r="G28" s="24"/>
      <c r="H28" s="24"/>
      <c r="I28" s="24"/>
      <c r="J28" s="24"/>
      <c r="K28" s="11" t="str">
        <f>IF(A28="","",IF(D28="","Scope not assigned. ",IF(D28="Not selected","Excluded from scope. ",""))&amp;IF(OR(F28="",F28="Not reviewed"),"Not reviewed. ","")&amp;IF(AND(D28="Selected",OR(E28="",E28="Not yet established")),"Criterion not established. ","")&amp;IF(AND(F28="Evidence supports the stated check",G28=""),"Supporting evidence not recorded. ","")&amp;IF(AND(OR(F28="Not applicable — reason recorded",D28="Not selected"),I28=""),"Reason not recorded. ","")&amp;IF(F28="Inconclusive or conflicting evidence","Evidence remains unresolved. ","")&amp;IF(AND(F28="Concern found",J28=""),"Finding / follow-up reference missing.",""))</f>
        <v>Scope not assigned. Not reviewed. </v>
      </c>
    </row>
    <row r="29" ht="102" customHeight="1">
      <c r="A29" s="11" t="str">
        <v>CONTROL02</v>
      </c>
      <c r="B29" s="11" t="str">
        <v>Financial controls and warehouse providers</v>
      </c>
      <c r="C29" s="11" t="str">
        <v>Can warehouse and finance records be reconciled without confusing physical quantity, custody, ownership and value?</v>
      </c>
      <c r="D29" s="24"/>
      <c r="E29" s="24"/>
      <c r="F29" s="24"/>
      <c r="G29" s="24"/>
      <c r="H29" s="24"/>
      <c r="I29" s="24"/>
      <c r="J29" s="24"/>
      <c r="K29" s="11" t="str">
        <f>IF(A29="","",IF(D29="","Scope not assigned. ",IF(D29="Not selected","Excluded from scope. ",""))&amp;IF(OR(F29="",F29="Not reviewed"),"Not reviewed. ","")&amp;IF(AND(D29="Selected",OR(E29="",E29="Not yet established")),"Criterion not established. ","")&amp;IF(AND(F29="Evidence supports the stated check",G29=""),"Supporting evidence not recorded. ","")&amp;IF(AND(OR(F29="Not applicable — reason recorded",D29="Not selected"),I29=""),"Reason not recorded. ","")&amp;IF(F29="Inconclusive or conflicting evidence","Evidence remains unresolved. ","")&amp;IF(AND(F29="Concern found",J29=""),"Finding / follow-up reference missing.",""))</f>
        <v>Scope not assigned. Not reviewed. </v>
      </c>
    </row>
    <row r="30" ht="102" customHeight="1">
      <c r="A30" s="11" t="str">
        <v>CONTROL03</v>
      </c>
      <c r="B30" s="11" t="str">
        <v>Financial controls and warehouse providers</v>
      </c>
      <c r="C30" s="11" t="str">
        <v>Does the evidence address both the service a warehouse provider delivers and the qualifications required for this relationship?</v>
      </c>
      <c r="D30" s="24"/>
      <c r="E30" s="24"/>
      <c r="F30" s="24"/>
      <c r="G30" s="24"/>
      <c r="H30" s="24"/>
      <c r="I30" s="24"/>
      <c r="J30" s="24"/>
      <c r="K30" s="11" t="str">
        <f>IF(A30="","",IF(D30="","Scope not assigned. ",IF(D30="Not selected","Excluded from scope. ",""))&amp;IF(OR(F30="",F30="Not reviewed"),"Not reviewed. ","")&amp;IF(AND(D30="Selected",OR(E30="",E30="Not yet established")),"Criterion not established. ","")&amp;IF(AND(F30="Evidence supports the stated check",G30=""),"Supporting evidence not recorded. ","")&amp;IF(AND(OR(F30="Not applicable — reason recorded",D30="Not selected"),I30=""),"Reason not recorded. ","")&amp;IF(F30="Inconclusive or conflicting evidence","Evidence remains unresolved. ","")&amp;IF(AND(F30="Concern found",J30=""),"Finding / follow-up reference missing.",""))</f>
        <v>Scope not assigned. Not reviewed. </v>
      </c>
    </row>
    <row r="31" ht="102" customHeight="1">
      <c r="A31" s="11" t="str">
        <v>CONTROL04</v>
      </c>
      <c r="B31" s="11" t="str">
        <v>Financial controls and warehouse providers</v>
      </c>
      <c r="C31" s="11" t="str">
        <v>Can selected warehouse charges be traced to the applicable agreement and the activity or unit being billed?</v>
      </c>
      <c r="D31" s="24"/>
      <c r="E31" s="24"/>
      <c r="F31" s="24"/>
      <c r="G31" s="24"/>
      <c r="H31" s="24"/>
      <c r="I31" s="24"/>
      <c r="J31" s="24"/>
      <c r="K31" s="11" t="str">
        <f>IF(A31="","",IF(D31="","Scope not assigned. ",IF(D31="Not selected","Excluded from scope. ",""))&amp;IF(OR(F31="",F31="Not reviewed"),"Not reviewed. ","")&amp;IF(AND(D31="Selected",OR(E31="",E31="Not yet established")),"Criterion not established. ","")&amp;IF(AND(F31="Evidence supports the stated check",G31=""),"Supporting evidence not recorded. ","")&amp;IF(AND(OR(F31="Not applicable — reason recorded",D31="Not selected"),I31=""),"Reason not recorded. ","")&amp;IF(F31="Inconclusive or conflicting evidence","Evidence remains unresolved. ","")&amp;IF(AND(F31="Concern found",J31=""),"Finding / follow-up reference missing.",""))</f>
        <v>Scope not assigned. Not reviewed. </v>
      </c>
    </row>
    <row r="32" ht="102" customHeight="1">
      <c r="A32" s="11" t="str">
        <v>GOV01</v>
      </c>
      <c r="B32" s="11" t="str">
        <v>Responsibilities and follow-through</v>
      </c>
      <c r="C32" s="11" t="str">
        <v>Is everyone clear about the decision this review supports and what each participant is responsible for?</v>
      </c>
      <c r="D32" s="24"/>
      <c r="E32" s="24"/>
      <c r="F32" s="24"/>
      <c r="G32" s="24"/>
      <c r="H32" s="24"/>
      <c r="I32" s="24"/>
      <c r="J32" s="24"/>
      <c r="K32" s="11" t="str">
        <f>IF(A32="","",IF(D32="","Scope not assigned. ",IF(D32="Not selected","Excluded from scope. ",""))&amp;IF(OR(F32="",F32="Not reviewed"),"Not reviewed. ","")&amp;IF(AND(D32="Selected",OR(E32="",E32="Not yet established")),"Criterion not established. ","")&amp;IF(AND(F32="Evidence supports the stated check",G32=""),"Supporting evidence not recorded. ","")&amp;IF(AND(OR(F32="Not applicable — reason recorded",D32="Not selected"),I32=""),"Reason not recorded. ","")&amp;IF(F32="Inconclusive or conflicting evidence","Evidence remains unresolved. ","")&amp;IF(AND(F32="Concern found",J32=""),"Finding / follow-up reference missing.",""))</f>
        <v>Scope not assigned. Not reviewed. </v>
      </c>
    </row>
    <row r="33" ht="102" customHeight="1">
      <c r="A33" s="11" t="str">
        <v>GOV02</v>
      </c>
      <c r="B33" s="11" t="str">
        <v>Responsibilities and follow-through</v>
      </c>
      <c r="C33" s="11" t="str">
        <v>Can a reader tell what was examined, what was not and where the evidence remains uncertain?</v>
      </c>
      <c r="D33" s="24"/>
      <c r="E33" s="24"/>
      <c r="F33" s="24"/>
      <c r="G33" s="24"/>
      <c r="H33" s="24"/>
      <c r="I33" s="24"/>
      <c r="J33" s="24"/>
      <c r="K33" s="11" t="str">
        <f>IF(A33="","",IF(D33="","Scope not assigned. ",IF(D33="Not selected","Excluded from scope. ",""))&amp;IF(OR(F33="",F33="Not reviewed"),"Not reviewed. ","")&amp;IF(AND(D33="Selected",OR(E33="",E33="Not yet established")),"Criterion not established. ","")&amp;IF(AND(F33="Evidence supports the stated check",G33=""),"Supporting evidence not recorded. ","")&amp;IF(AND(OR(F33="Not applicable — reason recorded",D33="Not selected"),I33=""),"Reason not recorded. ","")&amp;IF(F33="Inconclusive or conflicting evidence","Evidence remains unresolved. ","")&amp;IF(AND(F33="Concern found",J33=""),"Finding / follow-up reference missing.",""))</f>
        <v>Scope not assigned. Not reviewed. </v>
      </c>
    </row>
    <row r="34" ht="102" customHeight="1">
      <c r="A34" s="11" t="str">
        <v>GOV03</v>
      </c>
      <c r="B34" s="11" t="str">
        <v>Responsibilities and follow-through</v>
      </c>
      <c r="C34" s="11" t="str">
        <v>Does each finding have a next action and someone with the authority or support to move it forward?</v>
      </c>
      <c r="D34" s="24"/>
      <c r="E34" s="24"/>
      <c r="F34" s="24"/>
      <c r="G34" s="24"/>
      <c r="H34" s="24"/>
      <c r="I34" s="24"/>
      <c r="J34" s="24"/>
      <c r="K34" s="11" t="str">
        <f>IF(A34="","",IF(D34="","Scope not assigned. ",IF(D34="Not selected","Excluded from scope. ",""))&amp;IF(OR(F34="",F34="Not reviewed"),"Not reviewed. ","")&amp;IF(AND(D34="Selected",OR(E34="",E34="Not yet established")),"Criterion not established. ","")&amp;IF(AND(F34="Evidence supports the stated check",G34=""),"Supporting evidence not recorded. ","")&amp;IF(AND(OR(F34="Not applicable — reason recorded",D34="Not selected"),I34=""),"Reason not recorded. ","")&amp;IF(F34="Inconclusive or conflicting evidence","Evidence remains unresolved. ","")&amp;IF(AND(F34="Concern found",J34=""),"Finding / follow-up reference missing.",""))</f>
        <v>Scope not assigned. Not reviewed. </v>
      </c>
    </row>
    <row r="35" ht="102" customHeight="1">
      <c r="A35" s="11" t="str">
        <v>GOV04</v>
      </c>
      <c r="B35" s="11" t="str">
        <v>Responsibilities and follow-through</v>
      </c>
      <c r="C35" s="11" t="str">
        <v>What shows that an action addressed the finding, and what happens if the concern returns?</v>
      </c>
      <c r="D35" s="24"/>
      <c r="E35" s="24"/>
      <c r="F35" s="24"/>
      <c r="G35" s="24"/>
      <c r="H35" s="24"/>
      <c r="I35" s="24"/>
      <c r="J35" s="24"/>
      <c r="K35" s="11" t="str">
        <f>IF(A35="","",IF(D35="","Scope not assigned. ",IF(D35="Not selected","Excluded from scope. ",""))&amp;IF(OR(F35="",F35="Not reviewed"),"Not reviewed. ","")&amp;IF(AND(D35="Selected",OR(E35="",E35="Not yet established")),"Criterion not established. ","")&amp;IF(AND(F35="Evidence supports the stated check",G35=""),"Supporting evidence not recorded. ","")&amp;IF(AND(OR(F35="Not applicable — reason recorded",D35="Not selected"),I35=""),"Reason not recorded. ","")&amp;IF(F35="Inconclusive or conflicting evidence","Evidence remains unresolved. ","")&amp;IF(AND(F35="Concern found",J35=""),"Finding / follow-up reference missing.",""))</f>
        <v>Scope not assigned. Not reviewed. </v>
      </c>
    </row>
    <row r="36" ht="102" customHeight="1">
      <c r="A36" s="24"/>
      <c r="B36" s="24"/>
      <c r="C36" s="24"/>
      <c r="D36" s="24"/>
      <c r="E36" s="24"/>
      <c r="F36" s="24"/>
      <c r="G36" s="24"/>
      <c r="H36" s="24"/>
      <c r="I36" s="24"/>
      <c r="J36" s="24"/>
      <c r="K36" s="11" t="str">
        <f>IF(A36="","",IF(D36="","Scope not assigned. ",IF(D36="Not selected","Excluded from scope. ",""))&amp;IF(OR(F36="",F36="Not reviewed"),"Not reviewed. ","")&amp;IF(AND(D36="Selected",OR(E36="",E36="Not yet established")),"Criterion not established. ","")&amp;IF(AND(F36="Evidence supports the stated check",G36=""),"Supporting evidence not recorded. ","")&amp;IF(AND(OR(F36="Not applicable — reason recorded",D36="Not selected"),I36=""),"Reason not recorded. ","")&amp;IF(F36="Inconclusive or conflicting evidence","Evidence remains unresolved. ","")&amp;IF(AND(F36="Concern found",J36=""),"Finding / follow-up reference missing.",""))</f>
      </c>
    </row>
    <row r="37" ht="102" customHeight="1">
      <c r="A37" s="24"/>
      <c r="B37" s="24"/>
      <c r="C37" s="24"/>
      <c r="D37" s="24"/>
      <c r="E37" s="24"/>
      <c r="F37" s="24"/>
      <c r="G37" s="24"/>
      <c r="H37" s="24"/>
      <c r="I37" s="24"/>
      <c r="J37" s="24"/>
      <c r="K37" s="11" t="str">
        <f>IF(A37="","",IF(D37="","Scope not assigned. ",IF(D37="Not selected","Excluded from scope. ",""))&amp;IF(OR(F37="",F37="Not reviewed"),"Not reviewed. ","")&amp;IF(AND(D37="Selected",OR(E37="",E37="Not yet established")),"Criterion not established. ","")&amp;IF(AND(F37="Evidence supports the stated check",G37=""),"Supporting evidence not recorded. ","")&amp;IF(AND(OR(F37="Not applicable — reason recorded",D37="Not selected"),I37=""),"Reason not recorded. ","")&amp;IF(F37="Inconclusive or conflicting evidence","Evidence remains unresolved. ","")&amp;IF(AND(F37="Concern found",J37=""),"Finding / follow-up reference missing.",""))</f>
      </c>
    </row>
    <row r="38" ht="102" customHeight="1">
      <c r="A38" s="24"/>
      <c r="B38" s="24"/>
      <c r="C38" s="24"/>
      <c r="D38" s="24"/>
      <c r="E38" s="24"/>
      <c r="F38" s="24"/>
      <c r="G38" s="24"/>
      <c r="H38" s="24"/>
      <c r="I38" s="24"/>
      <c r="J38" s="24"/>
      <c r="K38" s="11" t="str">
        <f>IF(A38="","",IF(D38="","Scope not assigned. ",IF(D38="Not selected","Excluded from scope. ",""))&amp;IF(OR(F38="",F38="Not reviewed"),"Not reviewed. ","")&amp;IF(AND(D38="Selected",OR(E38="",E38="Not yet established")),"Criterion not established. ","")&amp;IF(AND(F38="Evidence supports the stated check",G38=""),"Supporting evidence not recorded. ","")&amp;IF(AND(OR(F38="Not applicable — reason recorded",D38="Not selected"),I38=""),"Reason not recorded. ","")&amp;IF(F38="Inconclusive or conflicting evidence","Evidence remains unresolved. ","")&amp;IF(AND(F38="Concern found",J38=""),"Finding / follow-up reference missing.",""))</f>
      </c>
    </row>
    <row r="39" ht="102" customHeight="1">
      <c r="A39" s="24"/>
      <c r="B39" s="24"/>
      <c r="C39" s="24"/>
      <c r="D39" s="24"/>
      <c r="E39" s="24"/>
      <c r="F39" s="24"/>
      <c r="G39" s="24"/>
      <c r="H39" s="24"/>
      <c r="I39" s="24"/>
      <c r="J39" s="24"/>
      <c r="K39" s="11" t="str">
        <f>IF(A39="","",IF(D39="","Scope not assigned. ",IF(D39="Not selected","Excluded from scope. ",""))&amp;IF(OR(F39="",F39="Not reviewed"),"Not reviewed. ","")&amp;IF(AND(D39="Selected",OR(E39="",E39="Not yet established")),"Criterion not established. ","")&amp;IF(AND(F39="Evidence supports the stated check",G39=""),"Supporting evidence not recorded. ","")&amp;IF(AND(OR(F39="Not applicable — reason recorded",D39="Not selected"),I39=""),"Reason not recorded. ","")&amp;IF(F39="Inconclusive or conflicting evidence","Evidence remains unresolved. ","")&amp;IF(AND(F39="Concern found",J39=""),"Finding / follow-up reference missing.",""))</f>
      </c>
    </row>
    <row r="40" ht="102" customHeight="1">
      <c r="A40" s="24"/>
      <c r="B40" s="24"/>
      <c r="C40" s="24"/>
      <c r="D40" s="24"/>
      <c r="E40" s="24"/>
      <c r="F40" s="24"/>
      <c r="G40" s="24"/>
      <c r="H40" s="24"/>
      <c r="I40" s="24"/>
      <c r="J40" s="24"/>
      <c r="K40" s="11" t="str">
        <f>IF(A40="","",IF(D40="","Scope not assigned. ",IF(D40="Not selected","Excluded from scope. ",""))&amp;IF(OR(F40="",F40="Not reviewed"),"Not reviewed. ","")&amp;IF(AND(D40="Selected",OR(E40="",E40="Not yet established")),"Criterion not established. ","")&amp;IF(AND(F40="Evidence supports the stated check",G40=""),"Supporting evidence not recorded. ","")&amp;IF(AND(OR(F40="Not applicable — reason recorded",D40="Not selected"),I40=""),"Reason not recorded. ","")&amp;IF(F40="Inconclusive or conflicting evidence","Evidence remains unresolved. ","")&amp;IF(AND(F40="Concern found",J40=""),"Finding / follow-up reference missing.",""))</f>
      </c>
    </row>
    <row r="41" ht="102" customHeight="1">
      <c r="A41" s="24"/>
      <c r="B41" s="24"/>
      <c r="C41" s="24"/>
      <c r="D41" s="24"/>
      <c r="E41" s="24"/>
      <c r="F41" s="24"/>
      <c r="G41" s="24"/>
      <c r="H41" s="24"/>
      <c r="I41" s="24"/>
      <c r="J41" s="24"/>
      <c r="K41" s="11" t="str">
        <f>IF(A41="","",IF(D41="","Scope not assigned. ",IF(D41="Not selected","Excluded from scope. ",""))&amp;IF(OR(F41="",F41="Not reviewed"),"Not reviewed. ","")&amp;IF(AND(D41="Selected",OR(E41="",E41="Not yet established")),"Criterion not established. ","")&amp;IF(AND(F41="Evidence supports the stated check",G41=""),"Supporting evidence not recorded. ","")&amp;IF(AND(OR(F41="Not applicable — reason recorded",D41="Not selected"),I41=""),"Reason not recorded. ","")&amp;IF(F41="Inconclusive or conflicting evidence","Evidence remains unresolved. ","")&amp;IF(AND(F41="Concern found",J41=""),"Finding / follow-up reference missing.",""))</f>
      </c>
    </row>
    <row r="42" ht="102" customHeight="1">
      <c r="A42" s="24"/>
      <c r="B42" s="24"/>
      <c r="C42" s="24"/>
      <c r="D42" s="24"/>
      <c r="E42" s="24"/>
      <c r="F42" s="24"/>
      <c r="G42" s="24"/>
      <c r="H42" s="24"/>
      <c r="I42" s="24"/>
      <c r="J42" s="24"/>
      <c r="K42" s="11" t="str">
        <f>IF(A42="","",IF(D42="","Scope not assigned. ",IF(D42="Not selected","Excluded from scope. ",""))&amp;IF(OR(F42="",F42="Not reviewed"),"Not reviewed. ","")&amp;IF(AND(D42="Selected",OR(E42="",E42="Not yet established")),"Criterion not established. ","")&amp;IF(AND(F42="Evidence supports the stated check",G42=""),"Supporting evidence not recorded. ","")&amp;IF(AND(OR(F42="Not applicable — reason recorded",D42="Not selected"),I42=""),"Reason not recorded. ","")&amp;IF(F42="Inconclusive or conflicting evidence","Evidence remains unresolved. ","")&amp;IF(AND(F42="Concern found",J42=""),"Finding / follow-up reference missing.",""))</f>
      </c>
    </row>
    <row r="43" ht="102" customHeight="1">
      <c r="A43" s="24"/>
      <c r="B43" s="24"/>
      <c r="C43" s="24"/>
      <c r="D43" s="24"/>
      <c r="E43" s="24"/>
      <c r="F43" s="24"/>
      <c r="G43" s="24"/>
      <c r="H43" s="24"/>
      <c r="I43" s="24"/>
      <c r="J43" s="24"/>
      <c r="K43" s="11" t="str">
        <f>IF(A43="","",IF(D43="","Scope not assigned. ",IF(D43="Not selected","Excluded from scope. ",""))&amp;IF(OR(F43="",F43="Not reviewed"),"Not reviewed. ","")&amp;IF(AND(D43="Selected",OR(E43="",E43="Not yet established")),"Criterion not established. ","")&amp;IF(AND(F43="Evidence supports the stated check",G43=""),"Supporting evidence not recorded. ","")&amp;IF(AND(OR(F43="Not applicable — reason recorded",D43="Not selected"),I43=""),"Reason not recorded. ","")&amp;IF(F43="Inconclusive or conflicting evidence","Evidence remains unresolved. ","")&amp;IF(AND(F43="Concern found",J43=""),"Finding / follow-up reference missing.",""))</f>
      </c>
    </row>
    <row r="44" ht="30" customHeight="1">
      <c r="A44" s="3"/>
      <c r="B44" s="3"/>
      <c r="C44" s="3"/>
      <c r="D44" s="3"/>
      <c r="E44" s="3"/>
      <c r="F44" s="3"/>
      <c r="G44" s="3"/>
      <c r="H44" s="3"/>
      <c r="I44" s="3"/>
      <c r="J44" s="3"/>
      <c r="K44" s="3"/>
    </row>
    <row r="45" ht="30" customHeight="1">
      <c r="A45" s="3"/>
      <c r="B45" s="3"/>
      <c r="C45" s="3"/>
      <c r="D45" s="3"/>
      <c r="E45" s="3"/>
      <c r="F45" s="3"/>
      <c r="G45" s="3"/>
      <c r="H45" s="3"/>
      <c r="I45" s="3"/>
      <c r="J45" s="3"/>
      <c r="K45" s="3"/>
    </row>
    <row r="46" ht="26" customHeight="1">
      <c r="A46" s="9" t="str">
        <v>Starter prompts</v>
      </c>
      <c r="B46" s="3"/>
      <c r="C46" s="3"/>
      <c r="D46" s="3"/>
      <c r="E46" s="3"/>
      <c r="F46" s="3"/>
      <c r="G46" s="3"/>
      <c r="H46" s="3"/>
      <c r="I46" s="3"/>
      <c r="J46" s="3"/>
      <c r="K46" s="3"/>
    </row>
    <row r="47" ht="30" customHeight="1">
      <c r="A47" s="8" t="str">
        <v>Use the prompts with your actual requirements. They are not a prescribed sampling rule or a universal audit procedure.</v>
      </c>
      <c r="B47" s="3"/>
      <c r="C47" s="3"/>
      <c r="D47" s="3"/>
      <c r="E47" s="3"/>
      <c r="F47" s="3"/>
      <c r="G47" s="3"/>
      <c r="H47" s="3"/>
      <c r="I47" s="3"/>
      <c r="J47" s="3"/>
      <c r="K47" s="3"/>
    </row>
    <row r="48" ht="30" customHeight="1">
      <c r="A48" s="3"/>
      <c r="B48" s="3"/>
      <c r="C48" s="3"/>
      <c r="D48" s="3"/>
      <c r="E48" s="3"/>
      <c r="F48" s="3"/>
      <c r="G48" s="3"/>
      <c r="H48" s="3"/>
      <c r="I48" s="3"/>
      <c r="J48" s="3"/>
      <c r="K48" s="3"/>
    </row>
    <row r="49" ht="42" customHeight="1">
      <c r="A49" s="18" t="str">
        <v>Check ID</v>
      </c>
      <c r="B49" s="22" t="str">
        <v>Check</v>
      </c>
      <c r="C49" s="22" t="str">
        <v>Starter prompts</v>
      </c>
      <c r="D49" s="19" t="str">
        <v>Navigation</v>
      </c>
      <c r="E49" s="3"/>
      <c r="F49" s="3"/>
      <c r="G49" s="3"/>
      <c r="H49" s="3"/>
      <c r="I49" s="3"/>
      <c r="J49" s="3"/>
      <c r="K49" s="3"/>
    </row>
    <row r="50" ht="240" customHeight="1">
      <c r="A50" s="10" t="str">
        <v>INV01</v>
      </c>
      <c r="B50" s="10" t="str">
        <v>Count versus record</v>
      </c>
      <c r="C50" s="10" t="str">
        <v>Check against
Establish the item, unit, location, count boundary and comparison time before interpreting a difference.
Evidence to seek
Compare count notes with stock records and movements around the count; retain the sample, timing and any recount.
Possible next step
Resolve timing or unit uncertainty, record the unexplained variance and assign investigation before treating an adjustment as closure.</v>
      </c>
      <c r="D50" s="10" t="str">
        <v>Back to register</v>
      </c>
      <c r="E50" s="3"/>
      <c r="F50" s="3"/>
      <c r="G50" s="3"/>
      <c r="H50" s="3"/>
      <c r="I50" s="3"/>
      <c r="J50" s="3"/>
      <c r="K50" s="3"/>
    </row>
    <row r="51" ht="240" customHeight="1">
      <c r="A51" s="11" t="str">
        <v>INV02</v>
      </c>
      <c r="B51" s="11" t="str">
        <v>Item, location and unit identity</v>
      </c>
      <c r="C51" s="11" t="str">
        <v>Check against
Check against the operation's agreed item, location and unit definitions, including relevant pack-size changes.
Evidence to seek
Trace selected labels, item records, locations and transaction entries; ask workers how similar-looking products or changed packs are distinguished.
Possible next step
Record the specific ambiguity and affected transactions, then identify who can correct the definition and check the resulting records.</v>
      </c>
      <c r="D51" s="11" t="str">
        <v>Back to register</v>
      </c>
      <c r="E51" s="3"/>
      <c r="F51" s="3"/>
      <c r="G51" s="3"/>
      <c r="H51" s="3"/>
      <c r="I51" s="3"/>
      <c r="J51" s="3"/>
      <c r="K51" s="3"/>
    </row>
    <row r="52" ht="240" customHeight="1">
      <c r="A52" s="11" t="str">
        <v>INV03</v>
      </c>
      <c r="B52" s="11" t="str">
        <v>Discrepancies and recurrence</v>
      </c>
      <c r="C52" s="11" t="str">
        <v>Check against
Establish how discrepancies should be reported, investigated and closed, separately from correcting the balance.
Evidence to seek
Follow selected recurring differences through adjustments, movement records, worker accounts and earlier actions; retain competing explanations and gaps.
Possible next step
Assign the next evidence request and an investigation owner. Identify what a later check would need to show before calling the problem resolved.</v>
      </c>
      <c r="D52" s="11" t="str">
        <v>Back to register</v>
      </c>
      <c r="E52" s="3"/>
      <c r="F52" s="3"/>
      <c r="G52" s="3"/>
      <c r="H52" s="3"/>
      <c r="I52" s="3"/>
      <c r="J52" s="3"/>
      <c r="K52" s="3"/>
    </row>
    <row r="53" ht="240" customHeight="1">
      <c r="A53" s="11" t="str">
        <v>FLOW01</v>
      </c>
      <c r="B53" s="11" t="str">
        <v>Receipt identification and exceptions</v>
      </c>
      <c r="C53" s="11" t="str">
        <v>Check against
Identify the receipt, acceptance and exception requirements for the goods and transaction being reviewed.
Evidence to seek
Compare expected shipment details, receipt records and recorded damage or shortages; ask who decided the disposition and informed the next team.
Possible next step
Record any missing decision or broken record link, and assign the person responsible for resolving that receipt exception.</v>
      </c>
      <c r="D53" s="11" t="str">
        <v>Back to register</v>
      </c>
      <c r="E53" s="3"/>
      <c r="F53" s="3"/>
      <c r="G53" s="3"/>
      <c r="H53" s="3"/>
      <c r="I53" s="3"/>
      <c r="J53" s="3"/>
      <c r="K53" s="3"/>
    </row>
    <row r="54" ht="240" customHeight="1">
      <c r="A54" s="11" t="str">
        <v>FLOW02</v>
      </c>
      <c r="B54" s="11" t="str">
        <v>Putaway and staging handoffs</v>
      </c>
      <c r="C54" s="11" t="str">
        <v>Check against
Confirm the site's putaway, staging and exception arrangements for the goods, including who owns each handoff.
Evidence to seek
Trace selected receipts from staging to storage and record updates; observe delays, unclear ownership or goods awaiting a decision.
Possible next step
Separate an unrecorded movement from a physical delay, establish the dependency and assign the next responsible action.</v>
      </c>
      <c r="D54" s="11" t="str">
        <v>Back to register</v>
      </c>
      <c r="E54" s="3"/>
      <c r="F54" s="3"/>
      <c r="G54" s="3"/>
      <c r="H54" s="3"/>
      <c r="I54" s="3"/>
      <c r="J54" s="3"/>
      <c r="K54" s="3"/>
    </row>
    <row r="55" ht="240" customHeight="1">
      <c r="A55" s="11" t="str">
        <v>FLOW03</v>
      </c>
      <c r="B55" s="11" t="str">
        <v>Picking and dispatch verification</v>
      </c>
      <c r="C55" s="11" t="str">
        <v>Check against
Establish the operation's order, verification and release requirements, including authority to resolve a mismatch.
Evidence to seek
Compare selected pick or release instructions, item quantities, shipment records and handover details; examine how changes or shortages were communicated.
Possible next step
Identify the failed or uncertain handoff and its owner. Keep checking this shipment distinct from reviewing recurring process failures.</v>
      </c>
      <c r="D55" s="11" t="str">
        <v>Back to register</v>
      </c>
      <c r="E55" s="3"/>
      <c r="F55" s="3"/>
      <c r="G55" s="3"/>
      <c r="H55" s="3"/>
      <c r="I55" s="3"/>
      <c r="J55" s="3"/>
      <c r="K55" s="3"/>
    </row>
    <row r="56" ht="240" customHeight="1">
      <c r="A56" s="11" t="str">
        <v>FLOW04</v>
      </c>
      <c r="B56" s="11" t="str">
        <v>Arrival timing and resource coordination</v>
      </c>
      <c r="C56" s="11" t="str">
        <v>Check against
Establish the relevant service commitments, operating constraints and responsibilities for communicating or changing the plan.
Evidence to seek
Compare planned and actual timing with workload, staffing, available space and exception records across selected operating periods.
Possible next step
Investigate which constraint affected service before choosing an intervention; assign any unresolved coordination or resource decision to its owner.</v>
      </c>
      <c r="D56" s="11" t="str">
        <v>Back to register</v>
      </c>
      <c r="E56" s="3"/>
      <c r="F56" s="3"/>
      <c r="G56" s="3"/>
      <c r="H56" s="3"/>
      <c r="I56" s="3"/>
      <c r="J56" s="3"/>
      <c r="K56" s="3"/>
    </row>
    <row r="57" ht="240" customHeight="1">
      <c r="A57" s="11" t="str">
        <v>SPACE01</v>
      </c>
      <c r="B57" s="11" t="str">
        <v>Usable space and congestion</v>
      </c>
      <c r="C57" s="11" t="str">
        <v>Check against
Confirm the intended use and relevant constraints of each area for the operating conditions being examined.
Evidence to seek
Observe selected busy and quieter periods; compare queues, space use, workload and available resources with the plan and worker explanations.
Possible next step
Distinguish a recurring constraint from an isolated event, and identify the evidence needed before changing capacity or layout.</v>
      </c>
      <c r="D57" s="11" t="str">
        <v>Back to register</v>
      </c>
      <c r="E57" s="3"/>
      <c r="F57" s="3"/>
      <c r="G57" s="3"/>
      <c r="H57" s="3"/>
      <c r="I57" s="3"/>
      <c r="J57" s="3"/>
      <c r="K57" s="3"/>
    </row>
    <row r="58" ht="240" customHeight="1">
      <c r="A58" s="11" t="str">
        <v>SPACE02</v>
      </c>
      <c r="B58" s="11" t="str">
        <v>Slotting, travel and replenishment</v>
      </c>
      <c r="C58" s="11" t="str">
        <v>Check against
Establish the relevant product, handling, access and workload requirements rather than assuming one arrangement suits every item.
Evidence to seek
Follow selected pick and replenishment paths; compare item activity, travel, repeated interruptions and worker accounts with the placement rationale.
Possible next step
Record the constraint and competing explanations, then identify who should assess a proposed change and its effects.</v>
      </c>
      <c r="D58" s="11" t="str">
        <v>Back to register</v>
      </c>
      <c r="E58" s="3"/>
      <c r="F58" s="3"/>
      <c r="G58" s="3"/>
      <c r="H58" s="3"/>
      <c r="I58" s="3"/>
      <c r="J58" s="3"/>
      <c r="K58" s="3"/>
    </row>
    <row r="59" ht="240" customHeight="1">
      <c r="A59" s="11" t="str">
        <v>SPACE03</v>
      </c>
      <c r="B59" s="11" t="str">
        <v>Housekeeping and recurring obstructions</v>
      </c>
      <c r="C59" s="11" t="str">
        <v>Check against
Identify the site's relevant housekeeping, access and storage requirements and the responsibility for acting on exceptions.
Evidence to seek
Compare current observations with earlier reports, assigned work and worker accounts of why material accumulates.
Possible next step
Follow the site's response arrangements for current concerns, then assign investigation of recurring causes and a check that the action worked.</v>
      </c>
      <c r="D59" s="11" t="str">
        <v>Back to register</v>
      </c>
      <c r="E59" s="3"/>
      <c r="F59" s="3"/>
      <c r="G59" s="3"/>
      <c r="H59" s="3"/>
      <c r="I59" s="3"/>
      <c r="J59" s="3"/>
      <c r="K59" s="3"/>
    </row>
    <row r="60" ht="240" customHeight="1">
      <c r="A60" s="11" t="str">
        <v>EQUIP01</v>
      </c>
      <c r="B60" s="11" t="str">
        <v>Inspection and maintenance coverage</v>
      </c>
      <c r="C60" s="11" t="str">
        <v>Check against
Confirm the applicable equipment instructions, inspection requirements and competence needed with the responsible equipment owner.
Evidence to seek
Match selected equipment to its identity, inspection and maintenance records, due work and the people responsible.
Possible next step
Refer missing coverage or uncertain criteria to the appropriate owner or competent reviewer; do not fill the gap with a generic checklist.</v>
      </c>
      <c r="D60" s="11" t="str">
        <v>Back to register</v>
      </c>
      <c r="E60" s="3"/>
      <c r="F60" s="3"/>
      <c r="G60" s="3"/>
      <c r="H60" s="3"/>
      <c r="I60" s="3"/>
      <c r="J60" s="3"/>
      <c r="K60" s="3"/>
    </row>
    <row r="61" ht="240" customHeight="1">
      <c r="A61" s="11" t="str">
        <v>EQUIP02</v>
      </c>
      <c r="B61" s="11" t="str">
        <v>Defect reports and operating restrictions</v>
      </c>
      <c r="C61" s="11" t="str">
        <v>Check against
Establish the defect-reporting and response arrangements, including who is authorised to assess the equipment.
Evidence to seek
Trace selected defect reports to decisions, communications and current operating status; ask affected workers what they were told.
Possible next step
Escalate missing or conflicting status information through the site's responsible owner. Keep any technical assessment with a person competent for that equipment.</v>
      </c>
      <c r="D61" s="11" t="str">
        <v>Back to register</v>
      </c>
      <c r="E61" s="3"/>
      <c r="F61" s="3"/>
      <c r="G61" s="3"/>
      <c r="H61" s="3"/>
      <c r="I61" s="3"/>
      <c r="J61" s="3"/>
      <c r="K61" s="3"/>
    </row>
    <row r="62" ht="240" customHeight="1">
      <c r="A62" s="11" t="str">
        <v>EQUIP03</v>
      </c>
      <c r="B62" s="11" t="str">
        <v>Repair and return to use</v>
      </c>
      <c r="C62" s="11" t="str">
        <v>Check against
Confirm the applicable acceptance requirements and who can authorise the change in operating status.
Evidence to seek
Follow selected defects through repair records, assessment or checks required for acceptance, remaining restrictions and communication to users.
Possible next step
Keep missing acceptance evidence visible and refer the decision to the authorised owner; a completed work order alone may not answer the readiness question.</v>
      </c>
      <c r="D62" s="11" t="str">
        <v>Back to register</v>
      </c>
      <c r="E62" s="3"/>
      <c r="F62" s="3"/>
      <c r="G62" s="3"/>
      <c r="H62" s="3"/>
      <c r="I62" s="3"/>
      <c r="J62" s="3"/>
      <c r="K62" s="3"/>
    </row>
    <row r="63" ht="240" customHeight="1">
      <c r="A63" s="11" t="str">
        <v>PEOPLE01</v>
      </c>
      <c r="B63" s="11" t="str">
        <v>Site hazards and controls</v>
      </c>
      <c r="C63" s="11" t="str">
        <v>Check against
Establish the applicable hazard assessments, requirements and control arrangements with the responsible safety and operating owners.
Evidence to seek
Compare recorded controls with observations, worker accounts, reported concerns and changes in goods, equipment or activity.
Possible next step
Route an immediate concern through the site's response process. Assign unresolved control questions to the competent owner and record the evidence still needed.</v>
      </c>
      <c r="D63" s="11" t="str">
        <v>Back to register</v>
      </c>
      <c r="E63" s="3"/>
      <c r="F63" s="3"/>
      <c r="G63" s="3"/>
      <c r="H63" s="3"/>
      <c r="I63" s="3"/>
      <c r="J63" s="3"/>
      <c r="K63" s="3"/>
    </row>
    <row r="64" ht="240" customHeight="1">
      <c r="A64" s="11" t="str">
        <v>PEOPLE02</v>
      </c>
      <c r="B64" s="11" t="str">
        <v>Competence and handover</v>
      </c>
      <c r="C64" s="11" t="str">
        <v>Check against
Confirm the task's competence requirements and the site's arrangements for handover, exceptions and escalation.
Evidence to seek
Compare preparation records with explanations and observed work; follow a selected unresolved issue across a shift or team boundary.
Possible next step
Identify whether the gap concerns preparation, instructions, authority or communication, then assign support and a suitable follow-up check.</v>
      </c>
      <c r="D64" s="11" t="str">
        <v>Back to register</v>
      </c>
      <c r="E64" s="3"/>
      <c r="F64" s="3"/>
      <c r="G64" s="3"/>
      <c r="H64" s="3"/>
      <c r="I64" s="3"/>
      <c r="J64" s="3"/>
      <c r="K64" s="3"/>
    </row>
    <row r="65" ht="240" customHeight="1">
      <c r="A65" s="11" t="str">
        <v>PEOPLE03</v>
      </c>
      <c r="B65" s="11" t="str">
        <v>Workload, worker accounts and practical constraints</v>
      </c>
      <c r="C65" s="11" t="str">
        <v>Check against
Establish the expected work, available resources and reporting responsibilities for the shifts and tasks reviewed.
Evidence to seek
Combine worker accounts with workload, interruption and exception records; examine whether instructions or performance measures pull people in different directions.
Possible next step
Preserve differing accounts, test the explanation against records and observations, and escalate resource or authority constraints to the person who can change them.</v>
      </c>
      <c r="D65" s="11" t="str">
        <v>Back to register</v>
      </c>
      <c r="E65" s="3"/>
      <c r="F65" s="3"/>
      <c r="G65" s="3"/>
      <c r="H65" s="3"/>
      <c r="I65" s="3"/>
      <c r="J65" s="3"/>
      <c r="K65" s="3"/>
    </row>
    <row r="66" ht="240" customHeight="1">
      <c r="A66" s="11" t="str">
        <v>GOODS01</v>
      </c>
      <c r="B66" s="11" t="str">
        <v>Access, custody and loss controls</v>
      </c>
      <c r="C66" s="11" t="str">
        <v>Check against
Identify the applicable custody, access and loss-reporting controls for the goods, ownership arrangement and review purpose.
Evidence to seek
Trace selected goods through movement and handover records; compare any access records, loss reports and assigned investigations.
Possible next step
Separate a missing record from an established loss or wrongdoing, and assign unresolved custody or security questions to the appropriate owner.</v>
      </c>
      <c r="D66" s="11" t="str">
        <v>Back to register</v>
      </c>
      <c r="E66" s="3"/>
      <c r="F66" s="3"/>
      <c r="G66" s="3"/>
      <c r="H66" s="3"/>
      <c r="I66" s="3"/>
      <c r="J66" s="3"/>
      <c r="K66" s="3"/>
    </row>
    <row r="67" ht="240" customHeight="1">
      <c r="A67" s="11" t="str">
        <v>GOODS02</v>
      </c>
      <c r="B67" s="11" t="str">
        <v>Product condition and traceability</v>
      </c>
      <c r="C67" s="11" t="str">
        <v>Check against
Confirm the product, customer and applicable assurance requirements, including which identifiers and condition records matter.
Evidence to seek
Trace selected goods through receipt, storage and release records, including condition exceptions, holds and disposition decisions where relevant.
Possible next step
Identify the break in the evidence chain and the responsible product or quality owner; preserve uncertainty about condition or acceptability until assessed.</v>
      </c>
      <c r="D67" s="11" t="str">
        <v>Back to register</v>
      </c>
      <c r="E67" s="3"/>
      <c r="F67" s="3"/>
      <c r="G67" s="3"/>
      <c r="H67" s="3"/>
      <c r="I67" s="3"/>
      <c r="J67" s="3"/>
      <c r="K67" s="3"/>
    </row>
    <row r="68" ht="240" customHeight="1">
      <c r="A68" s="11" t="str">
        <v>GOODS03</v>
      </c>
      <c r="B68" s="11" t="str">
        <v>Controlled goods and customs requirements</v>
      </c>
      <c r="C68" s="11" t="str">
        <v>Check against
Name the actual goods, activities, jurisdiction and programme, then establish the applicable criteria with the responsible specialist.
Evidence to seek
Compare selected movement, status and exception records with those criteria and any required permissions or declarations.
Possible next step
Record the precise unanswered requirement and assign its resolution to the appropriate compliance owner before drawing an assurance conclusion.</v>
      </c>
      <c r="D68" s="11" t="str">
        <v>Back to register</v>
      </c>
      <c r="E68" s="3"/>
      <c r="F68" s="3"/>
      <c r="G68" s="3"/>
      <c r="H68" s="3"/>
      <c r="I68" s="3"/>
      <c r="J68" s="3"/>
      <c r="K68" s="3"/>
    </row>
    <row r="69" ht="240" customHeight="1">
      <c r="A69" s="11" t="str">
        <v>GOODS04</v>
      </c>
      <c r="B69" s="11" t="str">
        <v>Storage conditions and environmental obligations</v>
      </c>
      <c r="C69" s="11" t="str">
        <v>Check against
Establish the goods, site and activity requirements and identify who determines acceptable conditions and responses.
Evidence to seek
Review applicable monitoring records, exceptions, decisions and follow-up alongside observations of the relevant area or activity.
Possible next step
Assign missing criteria, unexplained exceptions or unresolved actions to the responsible product, facilities or environmental owner; distinguish operating concerns from formal assurance findings.</v>
      </c>
      <c r="D69" s="11" t="str">
        <v>Back to register</v>
      </c>
      <c r="E69" s="3"/>
      <c r="F69" s="3"/>
      <c r="G69" s="3"/>
      <c r="H69" s="3"/>
      <c r="I69" s="3"/>
      <c r="J69" s="3"/>
      <c r="K69" s="3"/>
    </row>
    <row r="70" ht="240" customHeight="1">
      <c r="A70" s="11" t="str">
        <v>CONTROL01</v>
      </c>
      <c r="B70" s="11" t="str">
        <v>Adjustment and write-off authority</v>
      </c>
      <c r="C70" s="11" t="str">
        <v>Check against
Establish the organisation's applicable authorisation and supporting-document requirements for the transaction being reviewed.
Evidence to seek
Compare adjustment entries with reasons, investigation records, approvals and relevant count or movement evidence; retain missing or conflicting support.
Possible next step
Refer unsupported entries or unclear authority to the inventory and finance owners. Record the control question without treating a variance as proof of fraud.</v>
      </c>
      <c r="D70" s="11" t="str">
        <v>Back to register</v>
      </c>
      <c r="E70" s="3"/>
      <c r="F70" s="3"/>
      <c r="G70" s="3"/>
      <c r="H70" s="3"/>
      <c r="I70" s="3"/>
      <c r="J70" s="3"/>
      <c r="K70" s="3"/>
    </row>
    <row r="71" ht="240" customHeight="1">
      <c r="A71" s="11" t="str">
        <v>CONTROL02</v>
      </c>
      <c r="B71" s="11" t="str">
        <v>Custody and reconciliation evidence</v>
      </c>
      <c r="C71" s="11" t="str">
        <v>Check against
Agree the reconciliation's purpose, period, records and responsibilities with the relevant inventory and finance owners.
Evidence to seek
Compare selected stock and transaction records, counts and any applicable external-custody evidence; record unresolved differences and the assertions they affect.
Possible next step
Assign each gap to its evidence owner and identify any further financial-audit work required; a matching quantity alone does not answer every financial question.</v>
      </c>
      <c r="D71" s="11" t="str">
        <v>Back to register</v>
      </c>
      <c r="E71" s="3"/>
      <c r="F71" s="3"/>
      <c r="G71" s="3"/>
      <c r="H71" s="3"/>
      <c r="I71" s="3"/>
      <c r="J71" s="3"/>
      <c r="K71" s="3"/>
    </row>
    <row r="72" ht="240" customHeight="1">
      <c r="A72" s="11" t="str">
        <v>CONTROL03</v>
      </c>
      <c r="B72" s="11" t="str">
        <v>Contracted service and qualification evidence</v>
      </c>
      <c r="C72" s="11" t="str">
        <v>Check against
Identify the actual service commitments, qualification requirements, review period and people responsible for each decision.
Evidence to seek
Compare selected service records and exceptions with current qualification or assurance evidence relevant to the required scope.
Possible next step
Keep performance, qualification and renewal questions separate. Request missing evidence and assign the decision rather than treating one favourable document as settling the whole relationship.</v>
      </c>
      <c r="D72" s="11" t="str">
        <v>Back to register</v>
      </c>
      <c r="E72" s="3"/>
      <c r="F72" s="3"/>
      <c r="G72" s="3"/>
      <c r="H72" s="3"/>
      <c r="I72" s="3"/>
      <c r="J72" s="3"/>
      <c r="K72" s="3"/>
    </row>
    <row r="73" ht="240" customHeight="1">
      <c r="A73" s="11" t="str">
        <v>CONTROL04</v>
      </c>
      <c r="B73" s="11" t="str">
        <v>Charged activity, units and rates</v>
      </c>
      <c r="C73" s="11" t="str">
        <v>Check against
Identify the relevant contract and rate version, charging basis, period and authority for resolving a dispute.
Evidence to seek
Compare invoice lines with available movement, storage or service records and documented exceptions; retain gaps or inconsistent interpretations.
Possible next step
Record the disputed point and supporting evidence, then refer it to the commercial or finance decision owner without assuming entitlement or savings.</v>
      </c>
      <c r="D73" s="11" t="str">
        <v>Back to register</v>
      </c>
      <c r="E73" s="3"/>
      <c r="F73" s="3"/>
      <c r="G73" s="3"/>
      <c r="H73" s="3"/>
      <c r="I73" s="3"/>
      <c r="J73" s="3"/>
      <c r="K73" s="3"/>
    </row>
    <row r="74" ht="240" customHeight="1">
      <c r="A74" s="11" t="str">
        <v>GOV01</v>
      </c>
      <c r="B74" s="11" t="str">
        <v>Purpose, criteria and responsibilities</v>
      </c>
      <c r="C74" s="11" t="str">
        <v>Check against
Record the purpose, scope, criteria, intended users and any required assessor competence or independence.
Evidence to seek
Compare the review brief with responsibilities understood by the sponsor, evidence providers, assessor and action owners; identify missing authority or conflicting expectations.
Possible next step
Resolve the commissioning gap with the relevant decision maker before treating a generic checklist as the agreed scope.</v>
      </c>
      <c r="D74" s="11" t="str">
        <v>Back to register</v>
      </c>
      <c r="E74" s="3"/>
      <c r="F74" s="3"/>
      <c r="G74" s="3"/>
      <c r="H74" s="3"/>
      <c r="I74" s="3"/>
      <c r="J74" s="3"/>
      <c r="K74" s="3"/>
    </row>
    <row r="75" ht="240" customHeight="1">
      <c r="A75" s="11" t="str">
        <v>GOV02</v>
      </c>
      <c r="B75" s="11" t="str">
        <v>Evidence coverage and limitations</v>
      </c>
      <c r="C75" s="11" t="str">
        <v>Check against
Establish the review's coverage, period and evidence needs against its actual purpose and criteria.
Evidence to seek
Record selected locations, goods, shifts and transactions, together with missing records, conflicting accounts and reasons for exclusions.
Possible next step
Limit each conclusion to its support, identify what additional evidence would change the decision and name who should obtain or assess it.</v>
      </c>
      <c r="D75" s="11" t="str">
        <v>Back to register</v>
      </c>
      <c r="E75" s="3"/>
      <c r="F75" s="3"/>
      <c r="G75" s="3"/>
      <c r="H75" s="3"/>
      <c r="I75" s="3"/>
      <c r="J75" s="3"/>
      <c r="K75" s="3"/>
    </row>
    <row r="76" ht="240" customHeight="1">
      <c r="A76" s="11" t="str">
        <v>GOV03</v>
      </c>
      <c r="B76" s="11" t="str">
        <v>Action ownership, resources and escalation</v>
      </c>
      <c r="C76" s="11" t="str">
        <v>Check against
Agree the action owner, decision owner, required resources, target date and escalation route for unresolved dependencies.
Evidence to seek
Compare recorded actions with commitments, available authority and the decisions still outstanding; distinguish doing the work from approving resources.
Possible next step
Make the blocked decision explicit and take it to the responsible person rather than repeatedly assigning work the team cannot complete.</v>
      </c>
      <c r="D76" s="11" t="str">
        <v>Back to register</v>
      </c>
      <c r="E76" s="3"/>
      <c r="F76" s="3"/>
      <c r="G76" s="3"/>
      <c r="H76" s="3"/>
      <c r="I76" s="3"/>
      <c r="J76" s="3"/>
      <c r="K76" s="3"/>
    </row>
    <row r="77" ht="240" customHeight="1">
      <c r="A77" s="11" t="str">
        <v>GOV04</v>
      </c>
      <c r="B77" s="11" t="str">
        <v>Verification and recurring findings</v>
      </c>
      <c r="C77" s="11" t="str">
        <v>Check against
Agree what effectiveness means for the finding, who will check it and under which relevant operating conditions.
Evidence to seek
Compare reported completion with follow-up observations, records and recurring exceptions; retain limitations and any unresolved part of the finding.
Possible next step
Record further work where effectiveness remains uncertain. Distinguish verified operating results from wider financial benefits that have not been demonstrated.</v>
      </c>
      <c r="D77" s="11" t="str">
        <v>Back to register</v>
      </c>
      <c r="E77" s="3"/>
      <c r="F77" s="3"/>
      <c r="G77" s="3"/>
      <c r="H77" s="3"/>
      <c r="I77" s="3"/>
      <c r="J77" s="3"/>
      <c r="K77" s="3"/>
    </row>
    <row r="78" ht="30" customHeight="1">
      <c r="A78" s="3"/>
      <c r="B78" s="3"/>
      <c r="C78" s="3"/>
      <c r="D78" s="3"/>
      <c r="E78" s="3"/>
      <c r="F78" s="3"/>
      <c r="G78" s="3"/>
      <c r="H78" s="3"/>
      <c r="I78" s="3"/>
      <c r="J78" s="3"/>
      <c r="K78" s="3"/>
    </row>
    <row r="79" ht="30" customHeight="1">
      <c r="A79" s="3"/>
      <c r="B79" s="3"/>
      <c r="C79" s="3"/>
      <c r="D79" s="3"/>
      <c r="E79" s="3"/>
      <c r="F79" s="3"/>
      <c r="G79" s="3"/>
      <c r="H79" s="3"/>
      <c r="I79" s="3"/>
      <c r="J79" s="3"/>
      <c r="K79" s="3"/>
    </row>
    <row r="80" ht="30" customHeight="1">
      <c r="A80" s="3"/>
      <c r="B80" s="3"/>
      <c r="C80" s="3"/>
      <c r="D80" s="3"/>
      <c r="E80" s="3"/>
      <c r="F80" s="3"/>
      <c r="G80" s="3"/>
      <c r="H80" s="3"/>
      <c r="I80" s="3"/>
      <c r="J80" s="3"/>
      <c r="K80" s="3"/>
    </row>
    <row r="81" ht="30" customHeight="1">
      <c r="A81" s="3"/>
      <c r="B81" s="3"/>
      <c r="C81" s="3"/>
      <c r="D81" s="3"/>
      <c r="E81" s="3"/>
      <c r="F81" s="3"/>
      <c r="G81" s="3"/>
      <c r="H81" s="3"/>
      <c r="I81" s="3"/>
      <c r="J81" s="3"/>
      <c r="K81" s="3"/>
    </row>
    <row r="82" ht="30" customHeight="1">
      <c r="A82" s="3"/>
      <c r="B82" s="3"/>
      <c r="C82" s="3"/>
      <c r="D82" s="3"/>
      <c r="E82" s="3"/>
      <c r="F82" s="3"/>
      <c r="G82" s="3"/>
      <c r="H82" s="3"/>
      <c r="I82" s="3"/>
      <c r="J82" s="3"/>
      <c r="K82" s="3"/>
    </row>
  </sheetData>
  <mergeCells>
    <mergeCell ref="A2:D2"/>
  </mergeCells>
  <conditionalFormatting sqref="K8:K43">
    <cfRule type="containsText" dxfId="0" priority="1" operator="containsText" text="not recorded"/>
  </conditionalFormatting>
  <conditionalFormatting sqref="F8:F43">
    <cfRule type="cellIs" dxfId="1" priority="2" operator="equal">
      <formula>"Concern found"</formula>
    </cfRule>
  </conditionalFormatting>
  <dataValidations count="2">
    <dataValidation type="list" sqref="D8:D43">
      <formula1>"Selected,Not selected"</formula1>
    </dataValidation>
    <dataValidation type="list" sqref="F8:F43">
      <formula1>"Not reviewed,Evidence supports the stated check,Concern found,Inconclusive or conflicting evidence,Not applicable — reason recorded"</formula1>
    </dataValidation>
  </dataValidations>
  <hyperlinks>
    <hyperlink ref="C8" location="'Checklist and evidence'!A50"/>
    <hyperlink ref="C9" location="'Checklist and evidence'!A51"/>
    <hyperlink ref="C10" location="'Checklist and evidence'!A52"/>
    <hyperlink ref="C11" location="'Checklist and evidence'!A53"/>
    <hyperlink ref="C12" location="'Checklist and evidence'!A54"/>
    <hyperlink ref="C13" location="'Checklist and evidence'!A55"/>
    <hyperlink ref="C14" location="'Checklist and evidence'!A56"/>
    <hyperlink ref="C15" location="'Checklist and evidence'!A57"/>
    <hyperlink ref="C16" location="'Checklist and evidence'!A58"/>
    <hyperlink ref="C17" location="'Checklist and evidence'!A59"/>
    <hyperlink ref="C18" location="'Checklist and evidence'!A60"/>
    <hyperlink ref="C19" location="'Checklist and evidence'!A61"/>
    <hyperlink ref="C20" location="'Checklist and evidence'!A62"/>
    <hyperlink ref="C21" location="'Checklist and evidence'!A63"/>
    <hyperlink ref="C22" location="'Checklist and evidence'!A64"/>
    <hyperlink ref="C23" location="'Checklist and evidence'!A65"/>
    <hyperlink ref="C24" location="'Checklist and evidence'!A66"/>
    <hyperlink ref="C25" location="'Checklist and evidence'!A67"/>
    <hyperlink ref="C26" location="'Checklist and evidence'!A68"/>
    <hyperlink ref="C27" location="'Checklist and evidence'!A69"/>
    <hyperlink ref="C28" location="'Checklist and evidence'!A70"/>
    <hyperlink ref="C29" location="'Checklist and evidence'!A71"/>
    <hyperlink ref="C30" location="'Checklist and evidence'!A72"/>
    <hyperlink ref="C31" location="'Checklist and evidence'!A73"/>
    <hyperlink ref="C32" location="'Checklist and evidence'!A74"/>
    <hyperlink ref="C33" location="'Checklist and evidence'!A75"/>
    <hyperlink ref="C34" location="'Checklist and evidence'!A76"/>
    <hyperlink ref="C35" location="'Checklist and evidence'!A77"/>
    <hyperlink ref="D50" location="'Checklist and evidence'!A7"/>
    <hyperlink ref="D51" location="'Checklist and evidence'!A7"/>
    <hyperlink ref="D52" location="'Checklist and evidence'!A7"/>
    <hyperlink ref="D53" location="'Checklist and evidence'!A7"/>
    <hyperlink ref="D54" location="'Checklist and evidence'!A7"/>
    <hyperlink ref="D55" location="'Checklist and evidence'!A7"/>
    <hyperlink ref="D56" location="'Checklist and evidence'!A7"/>
    <hyperlink ref="D57" location="'Checklist and evidence'!A7"/>
    <hyperlink ref="D58" location="'Checklist and evidence'!A7"/>
    <hyperlink ref="D59" location="'Checklist and evidence'!A7"/>
    <hyperlink ref="D60" location="'Checklist and evidence'!A7"/>
    <hyperlink ref="D61" location="'Checklist and evidence'!A7"/>
    <hyperlink ref="D62" location="'Checklist and evidence'!A7"/>
    <hyperlink ref="D63" location="'Checklist and evidence'!A7"/>
    <hyperlink ref="D64" location="'Checklist and evidence'!A7"/>
    <hyperlink ref="D65" location="'Checklist and evidence'!A7"/>
    <hyperlink ref="D66" location="'Checklist and evidence'!A7"/>
    <hyperlink ref="D67" location="'Checklist and evidence'!A7"/>
    <hyperlink ref="D68" location="'Checklist and evidence'!A7"/>
    <hyperlink ref="D69" location="'Checklist and evidence'!A7"/>
    <hyperlink ref="D70" location="'Checklist and evidence'!A7"/>
    <hyperlink ref="D71" location="'Checklist and evidence'!A7"/>
    <hyperlink ref="D72" location="'Checklist and evidence'!A7"/>
    <hyperlink ref="D73" location="'Checklist and evidence'!A7"/>
    <hyperlink ref="D74" location="'Checklist and evidence'!A7"/>
    <hyperlink ref="D75" location="'Checklist and evidence'!A7"/>
    <hyperlink ref="D76" location="'Checklist and evidence'!A7"/>
    <hyperlink ref="D77" location="'Checklist and evidence'!A7"/>
  </hyperlinks>
  <pageMargins left="0.7" right="0.7" top="0.75" bottom="0.75" header="0.3" footer="0.3"/>
  <tableParts count="2">
    <tablePart r:id="Rd20b3f6a005d41d6"/>
    <tablePart r:id="R8d18320d3b7f4610"/>
  </tableParts>
</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4" hidden="0" customWidth="1"/>
    <x:col min="2" max="2" width="21" hidden="0" customWidth="1"/>
    <x:col min="3" max="3" width="35" hidden="0" customWidth="1"/>
    <x:col min="4" max="4" width="48" hidden="0" customWidth="1"/>
    <x:col min="5" max="5" width="40" hidden="0" customWidth="1"/>
    <x:col min="6" max="6" width="26" hidden="0" customWidth="1"/>
    <x:col min="7" max="7" width="27" hidden="0" customWidth="1"/>
    <x:col min="8" max="8" width="40" hidden="0" customWidth="1"/>
    <x:col min="9" max="9" width="43" hidden="0" customWidth="1"/>
    <x:col min="10" max="10" width="34" hidden="0" customWidth="1"/>
    <x:col min="11" max="11" width="27" hidden="0" customWidth="1"/>
    <x:col min="12" max="12" width="57" hidden="0" customWidth="1"/>
  </x:cols>
  <x:sheetData>
    <x:row r="1" ht="30" customHeight="1">
      <x:c r="A1" s="3"/>
      <x:c r="B1" s="3"/>
      <x:c r="C1" s="3"/>
      <x:c r="D1" s="3"/>
      <x:c r="E1" s="3"/>
      <x:c r="F1" s="3"/>
      <x:c r="G1" s="3"/>
      <x:c r="H1" s="3"/>
      <x:c r="I1" s="3"/>
      <x:c r="J1" s="3"/>
      <x:c r="K1" s="3"/>
      <x:c r="L1" s="3"/>
    </x:row>
    <x:row r="2" ht="36" customHeight="1">
      <x:c r="A2" s="4" t="str">
        <x:v>Findings and actions</x:v>
      </x:c>
      <x:c r="B2" s="3"/>
      <x:c r="C2" s="3"/>
      <x:c r="D2" s="3"/>
      <x:c r="E2" s="3"/>
      <x:c r="F2" s="3"/>
      <x:c r="G2" s="3"/>
      <x:c r="H2" s="3"/>
      <x:c r="I2" s="3"/>
      <x:c r="J2" s="3"/>
      <x:c r="K2" s="3"/>
      <x:c r="L2" s="3"/>
    </x:row>
    <x:row r="3" ht="30" customHeight="1">
      <x:c r="A3" s="5"/>
      <x:c r="B3" s="5"/>
      <x:c r="C3" s="5"/>
      <x:c r="D3" s="5"/>
      <x:c r="E3" s="3"/>
      <x:c r="F3" s="3"/>
      <x:c r="G3" s="3"/>
      <x:c r="H3" s="3"/>
      <x:c r="I3" s="3"/>
      <x:c r="J3" s="3"/>
      <x:c r="K3" s="3"/>
      <x:c r="L3" s="3"/>
    </x:row>
    <x:row r="4" ht="30" customHeight="1">
      <x:c r="A4" s="8" t="str">
        <x:v>Link records with stable IDs. A finding may need correction, investigation, corrective action and verification as separate actions.</x:v>
      </x:c>
      <x:c r="B4" s="3"/>
      <x:c r="C4" s="3"/>
      <x:c r="D4" s="3"/>
      <x:c r="E4" s="3"/>
      <x:c r="F4" s="3"/>
      <x:c r="G4" s="3"/>
      <x:c r="H4" s="3"/>
      <x:c r="I4" s="3"/>
      <x:c r="J4" s="3"/>
      <x:c r="K4" s="3"/>
      <x:c r="L4" s="3"/>
    </x:row>
    <x:row r="5" ht="30" customHeight="1">
      <x:c r="A5" s="8" t="str">
        <x:v>For an immediate concern use the site response process. Recording it here must not delay action.</x:v>
      </x:c>
      <x:c r="B5" s="3"/>
      <x:c r="C5" s="3"/>
      <x:c r="D5" s="3"/>
      <x:c r="E5" s="3"/>
      <x:c r="F5" s="3"/>
      <x:c r="G5" s="3"/>
      <x:c r="H5" s="3"/>
      <x:c r="I5" s="3"/>
      <x:c r="J5" s="3"/>
      <x:c r="K5" s="3"/>
      <x:c r="L5" s="3"/>
    </x:row>
    <x:row r="6" ht="30" customHeight="1">
      <x:c r="A6" s="3"/>
      <x:c r="B6" s="3"/>
      <x:c r="C6" s="3"/>
      <x:c r="D6" s="3"/>
      <x:c r="E6" s="3"/>
      <x:c r="F6" s="3"/>
      <x:c r="G6" s="3"/>
      <x:c r="H6" s="3"/>
      <x:c r="I6" s="3"/>
      <x:c r="J6" s="3"/>
      <x:c r="K6" s="3"/>
      <x:c r="L6" s="3"/>
    </x:row>
    <x:row r="7" ht="42" customHeight="1">
      <x:c r="A7" s="18" t="str">
        <x:v>Finding ID</x:v>
      </x:c>
      <x:c r="B7" s="22" t="str">
        <x:v>Linked check IDs / custom area</x:v>
      </x:c>
      <x:c r="C7" s="22" t="str">
        <x:v>Observation / unresolved question</x:v>
      </x:c>
      <x:c r="D7" s="22" t="str">
        <x:v>Applicable criterion / version</x:v>
      </x:c>
      <x:c r="E7" s="22" t="str">
        <x:v>Supporting evidence / sample</x:v>
      </x:c>
      <x:c r="F7" s="22" t="str">
        <x:v>Consequence / decision affected</x:v>
      </x:c>
      <x:c r="G7" s="22" t="str">
        <x:v>Evidence limits / conflicting accounts</x:v>
      </x:c>
      <x:c r="H7" s="22" t="str">
        <x:v>Possible cause (hypothesis)</x:v>
      </x:c>
      <x:c r="I7" s="19" t="str">
        <x:v>Urgency assigned by reviewer</x:v>
      </x:c>
      <x:c r="J7" s="3"/>
      <x:c r="K7" s="3"/>
      <x:c r="L7" s="3"/>
    </x:row>
    <x:row r="8" ht="90" customHeight="1">
      <x:c r="A8" s="23" t="str">
        <x:v>F001</x:v>
      </x:c>
      <x:c r="B8" s="23"/>
      <x:c r="C8" s="23"/>
      <x:c r="D8" s="23"/>
      <x:c r="E8" s="23"/>
      <x:c r="F8" s="23"/>
      <x:c r="G8" s="23"/>
      <x:c r="H8" s="23"/>
      <x:c r="I8" s="23"/>
      <x:c r="J8" s="3"/>
      <x:c r="K8" s="3"/>
      <x:c r="L8" s="3"/>
    </x:row>
    <x:row r="9" ht="90" customHeight="1">
      <x:c r="A9" s="24" t="str">
        <x:v>F002</x:v>
      </x:c>
      <x:c r="B9" s="24"/>
      <x:c r="C9" s="24"/>
      <x:c r="D9" s="24"/>
      <x:c r="E9" s="24"/>
      <x:c r="F9" s="24"/>
      <x:c r="G9" s="24"/>
      <x:c r="H9" s="24"/>
      <x:c r="I9" s="24"/>
      <x:c r="J9" s="3"/>
      <x:c r="K9" s="3"/>
      <x:c r="L9" s="3"/>
    </x:row>
    <x:row r="10" ht="90" customHeight="1">
      <x:c r="A10" s="24" t="str">
        <x:v>F003</x:v>
      </x:c>
      <x:c r="B10" s="24"/>
      <x:c r="C10" s="24"/>
      <x:c r="D10" s="24"/>
      <x:c r="E10" s="24"/>
      <x:c r="F10" s="24"/>
      <x:c r="G10" s="24"/>
      <x:c r="H10" s="24"/>
      <x:c r="I10" s="24"/>
      <x:c r="J10" s="3"/>
      <x:c r="K10" s="3"/>
      <x:c r="L10" s="3"/>
    </x:row>
    <x:row r="11" ht="90" customHeight="1">
      <x:c r="A11" s="24" t="str">
        <x:v>F004</x:v>
      </x:c>
      <x:c r="B11" s="24"/>
      <x:c r="C11" s="24"/>
      <x:c r="D11" s="24"/>
      <x:c r="E11" s="24"/>
      <x:c r="F11" s="24"/>
      <x:c r="G11" s="24"/>
      <x:c r="H11" s="24"/>
      <x:c r="I11" s="24"/>
      <x:c r="J11" s="3"/>
      <x:c r="K11" s="3"/>
      <x:c r="L11" s="3"/>
    </x:row>
    <x:row r="12" ht="90" customHeight="1">
      <x:c r="A12" s="24" t="str">
        <x:v>F005</x:v>
      </x:c>
      <x:c r="B12" s="24"/>
      <x:c r="C12" s="24"/>
      <x:c r="D12" s="24"/>
      <x:c r="E12" s="24"/>
      <x:c r="F12" s="24"/>
      <x:c r="G12" s="24"/>
      <x:c r="H12" s="24"/>
      <x:c r="I12" s="24"/>
      <x:c r="J12" s="3"/>
      <x:c r="K12" s="3"/>
      <x:c r="L12" s="3"/>
    </x:row>
    <x:row r="13" ht="90" customHeight="1">
      <x:c r="A13" s="24" t="str">
        <x:v>F006</x:v>
      </x:c>
      <x:c r="B13" s="24"/>
      <x:c r="C13" s="24"/>
      <x:c r="D13" s="24"/>
      <x:c r="E13" s="24"/>
      <x:c r="F13" s="24"/>
      <x:c r="G13" s="24"/>
      <x:c r="H13" s="24"/>
      <x:c r="I13" s="24"/>
      <x:c r="J13" s="3"/>
      <x:c r="K13" s="3"/>
      <x:c r="L13" s="3"/>
    </x:row>
    <x:row r="14" ht="90" customHeight="1">
      <x:c r="A14" s="24" t="str">
        <x:v>F007</x:v>
      </x:c>
      <x:c r="B14" s="24"/>
      <x:c r="C14" s="24"/>
      <x:c r="D14" s="24"/>
      <x:c r="E14" s="24"/>
      <x:c r="F14" s="24"/>
      <x:c r="G14" s="24"/>
      <x:c r="H14" s="24"/>
      <x:c r="I14" s="24"/>
      <x:c r="J14" s="3"/>
      <x:c r="K14" s="3"/>
      <x:c r="L14" s="3"/>
    </x:row>
    <x:row r="15" ht="90" customHeight="1">
      <x:c r="A15" s="24" t="str">
        <x:v>F008</x:v>
      </x:c>
      <x:c r="B15" s="24"/>
      <x:c r="C15" s="24"/>
      <x:c r="D15" s="24"/>
      <x:c r="E15" s="24"/>
      <x:c r="F15" s="24"/>
      <x:c r="G15" s="24"/>
      <x:c r="H15" s="24"/>
      <x:c r="I15" s="24"/>
      <x:c r="J15" s="3"/>
      <x:c r="K15" s="3"/>
      <x:c r="L15" s="3"/>
    </x:row>
    <x:row r="16" ht="90" customHeight="1">
      <x:c r="A16" s="24" t="str">
        <x:v>F009</x:v>
      </x:c>
      <x:c r="B16" s="24"/>
      <x:c r="C16" s="24"/>
      <x:c r="D16" s="24"/>
      <x:c r="E16" s="24"/>
      <x:c r="F16" s="24"/>
      <x:c r="G16" s="24"/>
      <x:c r="H16" s="24"/>
      <x:c r="I16" s="24"/>
      <x:c r="J16" s="3"/>
      <x:c r="K16" s="3"/>
      <x:c r="L16" s="3"/>
    </x:row>
    <x:row r="17" ht="90" customHeight="1">
      <x:c r="A17" s="24" t="str">
        <x:v>F010</x:v>
      </x:c>
      <x:c r="B17" s="24"/>
      <x:c r="C17" s="24"/>
      <x:c r="D17" s="24"/>
      <x:c r="E17" s="24"/>
      <x:c r="F17" s="24"/>
      <x:c r="G17" s="24"/>
      <x:c r="H17" s="24"/>
      <x:c r="I17" s="24"/>
      <x:c r="J17" s="3"/>
      <x:c r="K17" s="3"/>
      <x:c r="L17" s="3"/>
    </x:row>
    <x:row r="18" ht="90" customHeight="1">
      <x:c r="A18" s="24" t="str">
        <x:v>F011</x:v>
      </x:c>
      <x:c r="B18" s="24"/>
      <x:c r="C18" s="24"/>
      <x:c r="D18" s="24"/>
      <x:c r="E18" s="24"/>
      <x:c r="F18" s="24"/>
      <x:c r="G18" s="24"/>
      <x:c r="H18" s="24"/>
      <x:c r="I18" s="24"/>
      <x:c r="J18" s="3"/>
      <x:c r="K18" s="3"/>
      <x:c r="L18" s="3"/>
    </x:row>
    <x:row r="19" ht="90" customHeight="1">
      <x:c r="A19" s="24" t="str">
        <x:v>F012</x:v>
      </x:c>
      <x:c r="B19" s="24"/>
      <x:c r="C19" s="24"/>
      <x:c r="D19" s="24"/>
      <x:c r="E19" s="24"/>
      <x:c r="F19" s="24"/>
      <x:c r="G19" s="24"/>
      <x:c r="H19" s="24"/>
      <x:c r="I19" s="24"/>
      <x:c r="J19" s="3"/>
      <x:c r="K19" s="3"/>
      <x:c r="L19" s="3"/>
    </x:row>
    <x:row r="20" ht="30" customHeight="1">
      <x:c r="A20" s="3"/>
      <x:c r="B20" s="3"/>
      <x:c r="C20" s="3"/>
      <x:c r="D20" s="3"/>
      <x:c r="E20" s="3"/>
      <x:c r="F20" s="3"/>
      <x:c r="G20" s="3"/>
      <x:c r="H20" s="3"/>
      <x:c r="I20" s="3"/>
      <x:c r="J20" s="3"/>
      <x:c r="K20" s="3"/>
      <x:c r="L20" s="3"/>
    </x:row>
    <x:row r="21" ht="30" customHeight="1">
      <x:c r="A21" s="3"/>
      <x:c r="B21" s="3"/>
      <x:c r="C21" s="3"/>
      <x:c r="D21" s="3"/>
      <x:c r="E21" s="3"/>
      <x:c r="F21" s="3"/>
      <x:c r="G21" s="3"/>
      <x:c r="H21" s="3"/>
      <x:c r="I21" s="3"/>
      <x:c r="J21" s="3"/>
      <x:c r="K21" s="3"/>
      <x:c r="L21" s="3"/>
    </x:row>
    <x:row r="22" ht="26" customHeight="1">
      <x:c r="A22" s="9" t="str">
        <x:v>Action register</x:v>
      </x:c>
      <x:c r="B22" s="3"/>
      <x:c r="C22" s="3"/>
      <x:c r="D22" s="3"/>
      <x:c r="E22" s="3"/>
      <x:c r="F22" s="3"/>
      <x:c r="G22" s="3"/>
      <x:c r="H22" s="3"/>
      <x:c r="I22" s="3"/>
      <x:c r="J22" s="3"/>
      <x:c r="K22" s="3"/>
      <x:c r="L22" s="3"/>
    </x:row>
    <x:row r="23" ht="30" customHeight="1">
      <x:c r="A23" s="8" t="str">
        <x:v>Work completed does not mean effective. Add the verification plan and evidence in the separate register below.</x:v>
      </x:c>
      <x:c r="B23" s="3"/>
      <x:c r="C23" s="3"/>
      <x:c r="D23" s="3"/>
      <x:c r="E23" s="3"/>
      <x:c r="F23" s="3"/>
      <x:c r="G23" s="3"/>
      <x:c r="H23" s="3"/>
      <x:c r="I23" s="3"/>
      <x:c r="J23" s="3"/>
      <x:c r="K23" s="3"/>
      <x:c r="L23" s="3"/>
    </x:row>
    <x:row r="24" ht="30" customHeight="1">
      <x:c r="A24" s="3"/>
      <x:c r="B24" s="3"/>
      <x:c r="C24" s="3"/>
      <x:c r="D24" s="3"/>
      <x:c r="E24" s="3"/>
      <x:c r="F24" s="3"/>
      <x:c r="G24" s="3"/>
      <x:c r="H24" s="3"/>
      <x:c r="I24" s="3"/>
      <x:c r="J24" s="3"/>
      <x:c r="K24" s="3"/>
      <x:c r="L24" s="3"/>
    </x:row>
    <x:row r="25" ht="42" customHeight="1">
      <x:c r="A25" s="18" t="str">
        <x:v>Action ID</x:v>
      </x:c>
      <x:c r="B25" s="22" t="str">
        <x:v>Finding ID</x:v>
      </x:c>
      <x:c r="C25" s="22" t="str">
        <x:v>Action type</x:v>
      </x:c>
      <x:c r="D25" s="22" t="str">
        <x:v>Next action / work required</x:v>
      </x:c>
      <x:c r="E25" s="22" t="str">
        <x:v>Responsible owner</x:v>
      </x:c>
      <x:c r="F25" s="22" t="str">
        <x:v>Target date</x:v>
      </x:c>
      <x:c r="G25" s="22" t="str">
        <x:v>Work state</x:v>
      </x:c>
      <x:c r="H25" s="22" t="str">
        <x:v>Decision / resources needed</x:v>
      </x:c>
      <x:c r="I25" s="22" t="str">
        <x:v>Decision owner</x:v>
      </x:c>
      <x:c r="J25" s="22" t="str">
        <x:v>Completion evidence</x:v>
      </x:c>
      <x:c r="K25" s="22" t="str">
        <x:v>Completed date</x:v>
      </x:c>
      <x:c r="L25" s="19" t="str">
        <x:v>Follow-up gaps</x:v>
      </x:c>
    </x:row>
    <x:row r="26" ht="84" customHeight="1">
      <x:c r="A26" s="23" t="str">
        <x:v>A001</x:v>
      </x:c>
      <x:c r="B26" s="23"/>
      <x:c r="C26" s="23"/>
      <x:c r="D26" s="23"/>
      <x:c r="E26" s="23"/>
      <x:c r="F26" s="25"/>
      <x:c r="G26" s="23"/>
      <x:c r="H26" s="23"/>
      <x:c r="I26" s="23"/>
      <x:c r="J26" s="23"/>
      <x:c r="K26" s="25"/>
      <x:c r="L26" s="10" t="str">
        <x:f>IF(D26="","",IF(B26="","Finding link missing. ","")&amp;IF(E26="","Owner missing. ","")&amp;IF(F26="","Target date missing. ","")&amp;IF(AND(H26&lt;&gt;"",I26=""),"Decision owner missing. ","")&amp;IF(COUNTIFS($A$53:$A$72,A26)&gt;1,"Multiple verification rows; review. ",IF(COUNTIFS($A$53:$A$72,A26,$B$53:$B$72,"&lt;&gt;")=0,"Verification plan missing. ",""))&amp;IF(COUNTIFS($A$53:$A$72,A26,$F$53:$F$72,"Not effective")&gt;0,"Further follow-up needed. ",IF(COUNTIFS($A$53:$A$72,A26,$F$53:$F$72,"Inconclusive")&gt;0,"Effectiveness remains unresolved. ",IF(G26="Work completed",IF(AND(J26&lt;&gt;"",K26&lt;&gt;"",COUNTIFS($A$53:$A$72,A26,$F$53:$F$72,"Effective",$C$53:$C$72,"&lt;&gt;",$E$53:$E$72,"&gt;0",$G$53:$G$72,"&lt;&gt;")=1),"", "Completion / effectiveness evidence outstanding. "),""))))</x:f>
      </x:c>
    </x:row>
    <x:row r="27" ht="84" customHeight="1">
      <x:c r="A27" s="24" t="str">
        <x:v>A002</x:v>
      </x:c>
      <x:c r="B27" s="24"/>
      <x:c r="C27" s="24"/>
      <x:c r="D27" s="24"/>
      <x:c r="E27" s="24"/>
      <x:c r="F27" s="26"/>
      <x:c r="G27" s="24"/>
      <x:c r="H27" s="24"/>
      <x:c r="I27" s="24"/>
      <x:c r="J27" s="24"/>
      <x:c r="K27" s="26"/>
      <x:c r="L27" s="11" t="str">
        <x:f>IF(D27="","",IF(B27="","Finding link missing. ","")&amp;IF(E27="","Owner missing. ","")&amp;IF(F27="","Target date missing. ","")&amp;IF(AND(H27&lt;&gt;"",I27=""),"Decision owner missing. ","")&amp;IF(COUNTIFS($A$53:$A$72,A27)&gt;1,"Multiple verification rows; review. ",IF(COUNTIFS($A$53:$A$72,A27,$B$53:$B$72,"&lt;&gt;")=0,"Verification plan missing. ",""))&amp;IF(COUNTIFS($A$53:$A$72,A27,$F$53:$F$72,"Not effective")&gt;0,"Further follow-up needed. ",IF(COUNTIFS($A$53:$A$72,A27,$F$53:$F$72,"Inconclusive")&gt;0,"Effectiveness remains unresolved. ",IF(G27="Work completed",IF(AND(J27&lt;&gt;"",K27&lt;&gt;"",COUNTIFS($A$53:$A$72,A27,$F$53:$F$72,"Effective",$C$53:$C$72,"&lt;&gt;",$E$53:$E$72,"&gt;0",$G$53:$G$72,"&lt;&gt;")=1),"", "Completion / effectiveness evidence outstanding. "),""))))</x:f>
      </x:c>
    </x:row>
    <x:row r="28" ht="84" customHeight="1">
      <x:c r="A28" s="24" t="str">
        <x:v>A003</x:v>
      </x:c>
      <x:c r="B28" s="24"/>
      <x:c r="C28" s="24"/>
      <x:c r="D28" s="24"/>
      <x:c r="E28" s="24"/>
      <x:c r="F28" s="26"/>
      <x:c r="G28" s="24"/>
      <x:c r="H28" s="24"/>
      <x:c r="I28" s="24"/>
      <x:c r="J28" s="24"/>
      <x:c r="K28" s="26"/>
      <x:c r="L28" s="11" t="str">
        <x:f>IF(D28="","",IF(B28="","Finding link missing. ","")&amp;IF(E28="","Owner missing. ","")&amp;IF(F28="","Target date missing. ","")&amp;IF(AND(H28&lt;&gt;"",I28=""),"Decision owner missing. ","")&amp;IF(COUNTIFS($A$53:$A$72,A28)&gt;1,"Multiple verification rows; review. ",IF(COUNTIFS($A$53:$A$72,A28,$B$53:$B$72,"&lt;&gt;")=0,"Verification plan missing. ",""))&amp;IF(COUNTIFS($A$53:$A$72,A28,$F$53:$F$72,"Not effective")&gt;0,"Further follow-up needed. ",IF(COUNTIFS($A$53:$A$72,A28,$F$53:$F$72,"Inconclusive")&gt;0,"Effectiveness remains unresolved. ",IF(G28="Work completed",IF(AND(J28&lt;&gt;"",K28&lt;&gt;"",COUNTIFS($A$53:$A$72,A28,$F$53:$F$72,"Effective",$C$53:$C$72,"&lt;&gt;",$E$53:$E$72,"&gt;0",$G$53:$G$72,"&lt;&gt;")=1),"", "Completion / effectiveness evidence outstanding. "),""))))</x:f>
      </x:c>
    </x:row>
    <x:row r="29" ht="84" customHeight="1">
      <x:c r="A29" s="24" t="str">
        <x:v>A004</x:v>
      </x:c>
      <x:c r="B29" s="24"/>
      <x:c r="C29" s="24"/>
      <x:c r="D29" s="24"/>
      <x:c r="E29" s="24"/>
      <x:c r="F29" s="26"/>
      <x:c r="G29" s="24"/>
      <x:c r="H29" s="24"/>
      <x:c r="I29" s="24"/>
      <x:c r="J29" s="24"/>
      <x:c r="K29" s="26"/>
      <x:c r="L29" s="11" t="str">
        <x:f>IF(D29="","",IF(B29="","Finding link missing. ","")&amp;IF(E29="","Owner missing. ","")&amp;IF(F29="","Target date missing. ","")&amp;IF(AND(H29&lt;&gt;"",I29=""),"Decision owner missing. ","")&amp;IF(COUNTIFS($A$53:$A$72,A29)&gt;1,"Multiple verification rows; review. ",IF(COUNTIFS($A$53:$A$72,A29,$B$53:$B$72,"&lt;&gt;")=0,"Verification plan missing. ",""))&amp;IF(COUNTIFS($A$53:$A$72,A29,$F$53:$F$72,"Not effective")&gt;0,"Further follow-up needed. ",IF(COUNTIFS($A$53:$A$72,A29,$F$53:$F$72,"Inconclusive")&gt;0,"Effectiveness remains unresolved. ",IF(G29="Work completed",IF(AND(J29&lt;&gt;"",K29&lt;&gt;"",COUNTIFS($A$53:$A$72,A29,$F$53:$F$72,"Effective",$C$53:$C$72,"&lt;&gt;",$E$53:$E$72,"&gt;0",$G$53:$G$72,"&lt;&gt;")=1),"", "Completion / effectiveness evidence outstanding. "),""))))</x:f>
      </x:c>
    </x:row>
    <x:row r="30" ht="84" customHeight="1">
      <x:c r="A30" s="24" t="str">
        <x:v>A005</x:v>
      </x:c>
      <x:c r="B30" s="24"/>
      <x:c r="C30" s="24"/>
      <x:c r="D30" s="24"/>
      <x:c r="E30" s="24"/>
      <x:c r="F30" s="26"/>
      <x:c r="G30" s="24"/>
      <x:c r="H30" s="24"/>
      <x:c r="I30" s="24"/>
      <x:c r="J30" s="24"/>
      <x:c r="K30" s="26"/>
      <x:c r="L30" s="11" t="str">
        <x:f>IF(D30="","",IF(B30="","Finding link missing. ","")&amp;IF(E30="","Owner missing. ","")&amp;IF(F30="","Target date missing. ","")&amp;IF(AND(H30&lt;&gt;"",I30=""),"Decision owner missing. ","")&amp;IF(COUNTIFS($A$53:$A$72,A30)&gt;1,"Multiple verification rows; review. ",IF(COUNTIFS($A$53:$A$72,A30,$B$53:$B$72,"&lt;&gt;")=0,"Verification plan missing. ",""))&amp;IF(COUNTIFS($A$53:$A$72,A30,$F$53:$F$72,"Not effective")&gt;0,"Further follow-up needed. ",IF(COUNTIFS($A$53:$A$72,A30,$F$53:$F$72,"Inconclusive")&gt;0,"Effectiveness remains unresolved. ",IF(G30="Work completed",IF(AND(J30&lt;&gt;"",K30&lt;&gt;"",COUNTIFS($A$53:$A$72,A30,$F$53:$F$72,"Effective",$C$53:$C$72,"&lt;&gt;",$E$53:$E$72,"&gt;0",$G$53:$G$72,"&lt;&gt;")=1),"", "Completion / effectiveness evidence outstanding. "),""))))</x:f>
      </x:c>
    </x:row>
    <x:row r="31" ht="84" customHeight="1">
      <x:c r="A31" s="24" t="str">
        <x:v>A006</x:v>
      </x:c>
      <x:c r="B31" s="24"/>
      <x:c r="C31" s="24"/>
      <x:c r="D31" s="24"/>
      <x:c r="E31" s="24"/>
      <x:c r="F31" s="26"/>
      <x:c r="G31" s="24"/>
      <x:c r="H31" s="24"/>
      <x:c r="I31" s="24"/>
      <x:c r="J31" s="24"/>
      <x:c r="K31" s="26"/>
      <x:c r="L31" s="11" t="str">
        <x:f>IF(D31="","",IF(B31="","Finding link missing. ","")&amp;IF(E31="","Owner missing. ","")&amp;IF(F31="","Target date missing. ","")&amp;IF(AND(H31&lt;&gt;"",I31=""),"Decision owner missing. ","")&amp;IF(COUNTIFS($A$53:$A$72,A31)&gt;1,"Multiple verification rows; review. ",IF(COUNTIFS($A$53:$A$72,A31,$B$53:$B$72,"&lt;&gt;")=0,"Verification plan missing. ",""))&amp;IF(COUNTIFS($A$53:$A$72,A31,$F$53:$F$72,"Not effective")&gt;0,"Further follow-up needed. ",IF(COUNTIFS($A$53:$A$72,A31,$F$53:$F$72,"Inconclusive")&gt;0,"Effectiveness remains unresolved. ",IF(G31="Work completed",IF(AND(J31&lt;&gt;"",K31&lt;&gt;"",COUNTIFS($A$53:$A$72,A31,$F$53:$F$72,"Effective",$C$53:$C$72,"&lt;&gt;",$E$53:$E$72,"&gt;0",$G$53:$G$72,"&lt;&gt;")=1),"", "Completion / effectiveness evidence outstanding. "),""))))</x:f>
      </x:c>
    </x:row>
    <x:row r="32" ht="84" customHeight="1">
      <x:c r="A32" s="24" t="str">
        <x:v>A007</x:v>
      </x:c>
      <x:c r="B32" s="24"/>
      <x:c r="C32" s="24"/>
      <x:c r="D32" s="24"/>
      <x:c r="E32" s="24"/>
      <x:c r="F32" s="26"/>
      <x:c r="G32" s="24"/>
      <x:c r="H32" s="24"/>
      <x:c r="I32" s="24"/>
      <x:c r="J32" s="24"/>
      <x:c r="K32" s="26"/>
      <x:c r="L32" s="11" t="str">
        <x:f>IF(D32="","",IF(B32="","Finding link missing. ","")&amp;IF(E32="","Owner missing. ","")&amp;IF(F32="","Target date missing. ","")&amp;IF(AND(H32&lt;&gt;"",I32=""),"Decision owner missing. ","")&amp;IF(COUNTIFS($A$53:$A$72,A32)&gt;1,"Multiple verification rows; review. ",IF(COUNTIFS($A$53:$A$72,A32,$B$53:$B$72,"&lt;&gt;")=0,"Verification plan missing. ",""))&amp;IF(COUNTIFS($A$53:$A$72,A32,$F$53:$F$72,"Not effective")&gt;0,"Further follow-up needed. ",IF(COUNTIFS($A$53:$A$72,A32,$F$53:$F$72,"Inconclusive")&gt;0,"Effectiveness remains unresolved. ",IF(G32="Work completed",IF(AND(J32&lt;&gt;"",K32&lt;&gt;"",COUNTIFS($A$53:$A$72,A32,$F$53:$F$72,"Effective",$C$53:$C$72,"&lt;&gt;",$E$53:$E$72,"&gt;0",$G$53:$G$72,"&lt;&gt;")=1),"", "Completion / effectiveness evidence outstanding. "),""))))</x:f>
      </x:c>
    </x:row>
    <x:row r="33" ht="84" customHeight="1">
      <x:c r="A33" s="24" t="str">
        <x:v>A008</x:v>
      </x:c>
      <x:c r="B33" s="24"/>
      <x:c r="C33" s="24"/>
      <x:c r="D33" s="24"/>
      <x:c r="E33" s="24"/>
      <x:c r="F33" s="26"/>
      <x:c r="G33" s="24"/>
      <x:c r="H33" s="24"/>
      <x:c r="I33" s="24"/>
      <x:c r="J33" s="24"/>
      <x:c r="K33" s="26"/>
      <x:c r="L33" s="11" t="str">
        <x:f>IF(D33="","",IF(B33="","Finding link missing. ","")&amp;IF(E33="","Owner missing. ","")&amp;IF(F33="","Target date missing. ","")&amp;IF(AND(H33&lt;&gt;"",I33=""),"Decision owner missing. ","")&amp;IF(COUNTIFS($A$53:$A$72,A33)&gt;1,"Multiple verification rows; review. ",IF(COUNTIFS($A$53:$A$72,A33,$B$53:$B$72,"&lt;&gt;")=0,"Verification plan missing. ",""))&amp;IF(COUNTIFS($A$53:$A$72,A33,$F$53:$F$72,"Not effective")&gt;0,"Further follow-up needed. ",IF(COUNTIFS($A$53:$A$72,A33,$F$53:$F$72,"Inconclusive")&gt;0,"Effectiveness remains unresolved. ",IF(G33="Work completed",IF(AND(J33&lt;&gt;"",K33&lt;&gt;"",COUNTIFS($A$53:$A$72,A33,$F$53:$F$72,"Effective",$C$53:$C$72,"&lt;&gt;",$E$53:$E$72,"&gt;0",$G$53:$G$72,"&lt;&gt;")=1),"", "Completion / effectiveness evidence outstanding. "),""))))</x:f>
      </x:c>
    </x:row>
    <x:row r="34" ht="84" customHeight="1">
      <x:c r="A34" s="24" t="str">
        <x:v>A009</x:v>
      </x:c>
      <x:c r="B34" s="24"/>
      <x:c r="C34" s="24"/>
      <x:c r="D34" s="24"/>
      <x:c r="E34" s="24"/>
      <x:c r="F34" s="26"/>
      <x:c r="G34" s="24"/>
      <x:c r="H34" s="24"/>
      <x:c r="I34" s="24"/>
      <x:c r="J34" s="24"/>
      <x:c r="K34" s="26"/>
      <x:c r="L34" s="11" t="str">
        <x:f>IF(D34="","",IF(B34="","Finding link missing. ","")&amp;IF(E34="","Owner missing. ","")&amp;IF(F34="","Target date missing. ","")&amp;IF(AND(H34&lt;&gt;"",I34=""),"Decision owner missing. ","")&amp;IF(COUNTIFS($A$53:$A$72,A34)&gt;1,"Multiple verification rows; review. ",IF(COUNTIFS($A$53:$A$72,A34,$B$53:$B$72,"&lt;&gt;")=0,"Verification plan missing. ",""))&amp;IF(COUNTIFS($A$53:$A$72,A34,$F$53:$F$72,"Not effective")&gt;0,"Further follow-up needed. ",IF(COUNTIFS($A$53:$A$72,A34,$F$53:$F$72,"Inconclusive")&gt;0,"Effectiveness remains unresolved. ",IF(G34="Work completed",IF(AND(J34&lt;&gt;"",K34&lt;&gt;"",COUNTIFS($A$53:$A$72,A34,$F$53:$F$72,"Effective",$C$53:$C$72,"&lt;&gt;",$E$53:$E$72,"&gt;0",$G$53:$G$72,"&lt;&gt;")=1),"", "Completion / effectiveness evidence outstanding. "),""))))</x:f>
      </x:c>
    </x:row>
    <x:row r="35" ht="84" customHeight="1">
      <x:c r="A35" s="24" t="str">
        <x:v>A010</x:v>
      </x:c>
      <x:c r="B35" s="24"/>
      <x:c r="C35" s="24"/>
      <x:c r="D35" s="24"/>
      <x:c r="E35" s="24"/>
      <x:c r="F35" s="26"/>
      <x:c r="G35" s="24"/>
      <x:c r="H35" s="24"/>
      <x:c r="I35" s="24"/>
      <x:c r="J35" s="24"/>
      <x:c r="K35" s="26"/>
      <x:c r="L35" s="11" t="str">
        <x:f>IF(D35="","",IF(B35="","Finding link missing. ","")&amp;IF(E35="","Owner missing. ","")&amp;IF(F35="","Target date missing. ","")&amp;IF(AND(H35&lt;&gt;"",I35=""),"Decision owner missing. ","")&amp;IF(COUNTIFS($A$53:$A$72,A35)&gt;1,"Multiple verification rows; review. ",IF(COUNTIFS($A$53:$A$72,A35,$B$53:$B$72,"&lt;&gt;")=0,"Verification plan missing. ",""))&amp;IF(COUNTIFS($A$53:$A$72,A35,$F$53:$F$72,"Not effective")&gt;0,"Further follow-up needed. ",IF(COUNTIFS($A$53:$A$72,A35,$F$53:$F$72,"Inconclusive")&gt;0,"Effectiveness remains unresolved. ",IF(G35="Work completed",IF(AND(J35&lt;&gt;"",K35&lt;&gt;"",COUNTIFS($A$53:$A$72,A35,$F$53:$F$72,"Effective",$C$53:$C$72,"&lt;&gt;",$E$53:$E$72,"&gt;0",$G$53:$G$72,"&lt;&gt;")=1),"", "Completion / effectiveness evidence outstanding. "),""))))</x:f>
      </x:c>
    </x:row>
    <x:row r="36" ht="84" customHeight="1">
      <x:c r="A36" s="24" t="str">
        <x:v>A011</x:v>
      </x:c>
      <x:c r="B36" s="24"/>
      <x:c r="C36" s="24"/>
      <x:c r="D36" s="24"/>
      <x:c r="E36" s="24"/>
      <x:c r="F36" s="26"/>
      <x:c r="G36" s="24"/>
      <x:c r="H36" s="24"/>
      <x:c r="I36" s="24"/>
      <x:c r="J36" s="24"/>
      <x:c r="K36" s="26"/>
      <x:c r="L36" s="11" t="str">
        <x:f>IF(D36="","",IF(B36="","Finding link missing. ","")&amp;IF(E36="","Owner missing. ","")&amp;IF(F36="","Target date missing. ","")&amp;IF(AND(H36&lt;&gt;"",I36=""),"Decision owner missing. ","")&amp;IF(COUNTIFS($A$53:$A$72,A36)&gt;1,"Multiple verification rows; review. ",IF(COUNTIFS($A$53:$A$72,A36,$B$53:$B$72,"&lt;&gt;")=0,"Verification plan missing. ",""))&amp;IF(COUNTIFS($A$53:$A$72,A36,$F$53:$F$72,"Not effective")&gt;0,"Further follow-up needed. ",IF(COUNTIFS($A$53:$A$72,A36,$F$53:$F$72,"Inconclusive")&gt;0,"Effectiveness remains unresolved. ",IF(G36="Work completed",IF(AND(J36&lt;&gt;"",K36&lt;&gt;"",COUNTIFS($A$53:$A$72,A36,$F$53:$F$72,"Effective",$C$53:$C$72,"&lt;&gt;",$E$53:$E$72,"&gt;0",$G$53:$G$72,"&lt;&gt;")=1),"", "Completion / effectiveness evidence outstanding. "),""))))</x:f>
      </x:c>
    </x:row>
    <x:row r="37" ht="84" customHeight="1">
      <x:c r="A37" s="24" t="str">
        <x:v>A012</x:v>
      </x:c>
      <x:c r="B37" s="24"/>
      <x:c r="C37" s="24"/>
      <x:c r="D37" s="24"/>
      <x:c r="E37" s="24"/>
      <x:c r="F37" s="26"/>
      <x:c r="G37" s="24"/>
      <x:c r="H37" s="24"/>
      <x:c r="I37" s="24"/>
      <x:c r="J37" s="24"/>
      <x:c r="K37" s="26"/>
      <x:c r="L37" s="11" t="str">
        <x:f>IF(D37="","",IF(B37="","Finding link missing. ","")&amp;IF(E37="","Owner missing. ","")&amp;IF(F37="","Target date missing. ","")&amp;IF(AND(H37&lt;&gt;"",I37=""),"Decision owner missing. ","")&amp;IF(COUNTIFS($A$53:$A$72,A37)&gt;1,"Multiple verification rows; review. ",IF(COUNTIFS($A$53:$A$72,A37,$B$53:$B$72,"&lt;&gt;")=0,"Verification plan missing. ",""))&amp;IF(COUNTIFS($A$53:$A$72,A37,$F$53:$F$72,"Not effective")&gt;0,"Further follow-up needed. ",IF(COUNTIFS($A$53:$A$72,A37,$F$53:$F$72,"Inconclusive")&gt;0,"Effectiveness remains unresolved. ",IF(G37="Work completed",IF(AND(J37&lt;&gt;"",K37&lt;&gt;"",COUNTIFS($A$53:$A$72,A37,$F$53:$F$72,"Effective",$C$53:$C$72,"&lt;&gt;",$E$53:$E$72,"&gt;0",$G$53:$G$72,"&lt;&gt;")=1),"", "Completion / effectiveness evidence outstanding. "),""))))</x:f>
      </x:c>
    </x:row>
    <x:row r="38" ht="84" customHeight="1">
      <x:c r="A38" s="24" t="str">
        <x:v>A013</x:v>
      </x:c>
      <x:c r="B38" s="24"/>
      <x:c r="C38" s="24"/>
      <x:c r="D38" s="24"/>
      <x:c r="E38" s="24"/>
      <x:c r="F38" s="26"/>
      <x:c r="G38" s="24"/>
      <x:c r="H38" s="24"/>
      <x:c r="I38" s="24"/>
      <x:c r="J38" s="24"/>
      <x:c r="K38" s="26"/>
      <x:c r="L38" s="11" t="str">
        <x:f>IF(D38="","",IF(B38="","Finding link missing. ","")&amp;IF(E38="","Owner missing. ","")&amp;IF(F38="","Target date missing. ","")&amp;IF(AND(H38&lt;&gt;"",I38=""),"Decision owner missing. ","")&amp;IF(COUNTIFS($A$53:$A$72,A38)&gt;1,"Multiple verification rows; review. ",IF(COUNTIFS($A$53:$A$72,A38,$B$53:$B$72,"&lt;&gt;")=0,"Verification plan missing. ",""))&amp;IF(COUNTIFS($A$53:$A$72,A38,$F$53:$F$72,"Not effective")&gt;0,"Further follow-up needed. ",IF(COUNTIFS($A$53:$A$72,A38,$F$53:$F$72,"Inconclusive")&gt;0,"Effectiveness remains unresolved. ",IF(G38="Work completed",IF(AND(J38&lt;&gt;"",K38&lt;&gt;"",COUNTIFS($A$53:$A$72,A38,$F$53:$F$72,"Effective",$C$53:$C$72,"&lt;&gt;",$E$53:$E$72,"&gt;0",$G$53:$G$72,"&lt;&gt;")=1),"", "Completion / effectiveness evidence outstanding. "),""))))</x:f>
      </x:c>
    </x:row>
    <x:row r="39" ht="84" customHeight="1">
      <x:c r="A39" s="24" t="str">
        <x:v>A014</x:v>
      </x:c>
      <x:c r="B39" s="24"/>
      <x:c r="C39" s="24"/>
      <x:c r="D39" s="24"/>
      <x:c r="E39" s="24"/>
      <x:c r="F39" s="26"/>
      <x:c r="G39" s="24"/>
      <x:c r="H39" s="24"/>
      <x:c r="I39" s="24"/>
      <x:c r="J39" s="24"/>
      <x:c r="K39" s="26"/>
      <x:c r="L39" s="11" t="str">
        <x:f>IF(D39="","",IF(B39="","Finding link missing. ","")&amp;IF(E39="","Owner missing. ","")&amp;IF(F39="","Target date missing. ","")&amp;IF(AND(H39&lt;&gt;"",I39=""),"Decision owner missing. ","")&amp;IF(COUNTIFS($A$53:$A$72,A39)&gt;1,"Multiple verification rows; review. ",IF(COUNTIFS($A$53:$A$72,A39,$B$53:$B$72,"&lt;&gt;")=0,"Verification plan missing. ",""))&amp;IF(COUNTIFS($A$53:$A$72,A39,$F$53:$F$72,"Not effective")&gt;0,"Further follow-up needed. ",IF(COUNTIFS($A$53:$A$72,A39,$F$53:$F$72,"Inconclusive")&gt;0,"Effectiveness remains unresolved. ",IF(G39="Work completed",IF(AND(J39&lt;&gt;"",K39&lt;&gt;"",COUNTIFS($A$53:$A$72,A39,$F$53:$F$72,"Effective",$C$53:$C$72,"&lt;&gt;",$E$53:$E$72,"&gt;0",$G$53:$G$72,"&lt;&gt;")=1),"", "Completion / effectiveness evidence outstanding. "),""))))</x:f>
      </x:c>
    </x:row>
    <x:row r="40" ht="84" customHeight="1">
      <x:c r="A40" s="24" t="str">
        <x:v>A015</x:v>
      </x:c>
      <x:c r="B40" s="24"/>
      <x:c r="C40" s="24"/>
      <x:c r="D40" s="24"/>
      <x:c r="E40" s="24"/>
      <x:c r="F40" s="26"/>
      <x:c r="G40" s="24"/>
      <x:c r="H40" s="24"/>
      <x:c r="I40" s="24"/>
      <x:c r="J40" s="24"/>
      <x:c r="K40" s="26"/>
      <x:c r="L40" s="11" t="str">
        <x:f>IF(D40="","",IF(B40="","Finding link missing. ","")&amp;IF(E40="","Owner missing. ","")&amp;IF(F40="","Target date missing. ","")&amp;IF(AND(H40&lt;&gt;"",I40=""),"Decision owner missing. ","")&amp;IF(COUNTIFS($A$53:$A$72,A40)&gt;1,"Multiple verification rows; review. ",IF(COUNTIFS($A$53:$A$72,A40,$B$53:$B$72,"&lt;&gt;")=0,"Verification plan missing. ",""))&amp;IF(COUNTIFS($A$53:$A$72,A40,$F$53:$F$72,"Not effective")&gt;0,"Further follow-up needed. ",IF(COUNTIFS($A$53:$A$72,A40,$F$53:$F$72,"Inconclusive")&gt;0,"Effectiveness remains unresolved. ",IF(G40="Work completed",IF(AND(J40&lt;&gt;"",K40&lt;&gt;"",COUNTIFS($A$53:$A$72,A40,$F$53:$F$72,"Effective",$C$53:$C$72,"&lt;&gt;",$E$53:$E$72,"&gt;0",$G$53:$G$72,"&lt;&gt;")=1),"", "Completion / effectiveness evidence outstanding. "),""))))</x:f>
      </x:c>
    </x:row>
    <x:row r="41" ht="84" customHeight="1">
      <x:c r="A41" s="24" t="str">
        <x:v>A016</x:v>
      </x:c>
      <x:c r="B41" s="24"/>
      <x:c r="C41" s="24"/>
      <x:c r="D41" s="24"/>
      <x:c r="E41" s="24"/>
      <x:c r="F41" s="26"/>
      <x:c r="G41" s="24"/>
      <x:c r="H41" s="24"/>
      <x:c r="I41" s="24"/>
      <x:c r="J41" s="24"/>
      <x:c r="K41" s="26"/>
      <x:c r="L41" s="11" t="str">
        <x:f>IF(D41="","",IF(B41="","Finding link missing. ","")&amp;IF(E41="","Owner missing. ","")&amp;IF(F41="","Target date missing. ","")&amp;IF(AND(H41&lt;&gt;"",I41=""),"Decision owner missing. ","")&amp;IF(COUNTIFS($A$53:$A$72,A41)&gt;1,"Multiple verification rows; review. ",IF(COUNTIFS($A$53:$A$72,A41,$B$53:$B$72,"&lt;&gt;")=0,"Verification plan missing. ",""))&amp;IF(COUNTIFS($A$53:$A$72,A41,$F$53:$F$72,"Not effective")&gt;0,"Further follow-up needed. ",IF(COUNTIFS($A$53:$A$72,A41,$F$53:$F$72,"Inconclusive")&gt;0,"Effectiveness remains unresolved. ",IF(G41="Work completed",IF(AND(J41&lt;&gt;"",K41&lt;&gt;"",COUNTIFS($A$53:$A$72,A41,$F$53:$F$72,"Effective",$C$53:$C$72,"&lt;&gt;",$E$53:$E$72,"&gt;0",$G$53:$G$72,"&lt;&gt;")=1),"", "Completion / effectiveness evidence outstanding. "),""))))</x:f>
      </x:c>
    </x:row>
    <x:row r="42" ht="84" customHeight="1">
      <x:c r="A42" s="24" t="str">
        <x:v>A017</x:v>
      </x:c>
      <x:c r="B42" s="24"/>
      <x:c r="C42" s="24"/>
      <x:c r="D42" s="24"/>
      <x:c r="E42" s="24"/>
      <x:c r="F42" s="26"/>
      <x:c r="G42" s="24"/>
      <x:c r="H42" s="24"/>
      <x:c r="I42" s="24"/>
      <x:c r="J42" s="24"/>
      <x:c r="K42" s="26"/>
      <x:c r="L42" s="11" t="str">
        <x:f>IF(D42="","",IF(B42="","Finding link missing. ","")&amp;IF(E42="","Owner missing. ","")&amp;IF(F42="","Target date missing. ","")&amp;IF(AND(H42&lt;&gt;"",I42=""),"Decision owner missing. ","")&amp;IF(COUNTIFS($A$53:$A$72,A42)&gt;1,"Multiple verification rows; review. ",IF(COUNTIFS($A$53:$A$72,A42,$B$53:$B$72,"&lt;&gt;")=0,"Verification plan missing. ",""))&amp;IF(COUNTIFS($A$53:$A$72,A42,$F$53:$F$72,"Not effective")&gt;0,"Further follow-up needed. ",IF(COUNTIFS($A$53:$A$72,A42,$F$53:$F$72,"Inconclusive")&gt;0,"Effectiveness remains unresolved. ",IF(G42="Work completed",IF(AND(J42&lt;&gt;"",K42&lt;&gt;"",COUNTIFS($A$53:$A$72,A42,$F$53:$F$72,"Effective",$C$53:$C$72,"&lt;&gt;",$E$53:$E$72,"&gt;0",$G$53:$G$72,"&lt;&gt;")=1),"", "Completion / effectiveness evidence outstanding. "),""))))</x:f>
      </x:c>
    </x:row>
    <x:row r="43" ht="84" customHeight="1">
      <x:c r="A43" s="24" t="str">
        <x:v>A018</x:v>
      </x:c>
      <x:c r="B43" s="24"/>
      <x:c r="C43" s="24"/>
      <x:c r="D43" s="24"/>
      <x:c r="E43" s="24"/>
      <x:c r="F43" s="26"/>
      <x:c r="G43" s="24"/>
      <x:c r="H43" s="24"/>
      <x:c r="I43" s="24"/>
      <x:c r="J43" s="24"/>
      <x:c r="K43" s="26"/>
      <x:c r="L43" s="11" t="str">
        <x:f>IF(D43="","",IF(B43="","Finding link missing. ","")&amp;IF(E43="","Owner missing. ","")&amp;IF(F43="","Target date missing. ","")&amp;IF(AND(H43&lt;&gt;"",I43=""),"Decision owner missing. ","")&amp;IF(COUNTIFS($A$53:$A$72,A43)&gt;1,"Multiple verification rows; review. ",IF(COUNTIFS($A$53:$A$72,A43,$B$53:$B$72,"&lt;&gt;")=0,"Verification plan missing. ",""))&amp;IF(COUNTIFS($A$53:$A$72,A43,$F$53:$F$72,"Not effective")&gt;0,"Further follow-up needed. ",IF(COUNTIFS($A$53:$A$72,A43,$F$53:$F$72,"Inconclusive")&gt;0,"Effectiveness remains unresolved. ",IF(G43="Work completed",IF(AND(J43&lt;&gt;"",K43&lt;&gt;"",COUNTIFS($A$53:$A$72,A43,$F$53:$F$72,"Effective",$C$53:$C$72,"&lt;&gt;",$E$53:$E$72,"&gt;0",$G$53:$G$72,"&lt;&gt;")=1),"", "Completion / effectiveness evidence outstanding. "),""))))</x:f>
      </x:c>
    </x:row>
    <x:row r="44" ht="84" customHeight="1">
      <x:c r="A44" s="24" t="str">
        <x:v>A019</x:v>
      </x:c>
      <x:c r="B44" s="24"/>
      <x:c r="C44" s="24"/>
      <x:c r="D44" s="24"/>
      <x:c r="E44" s="24"/>
      <x:c r="F44" s="26"/>
      <x:c r="G44" s="24"/>
      <x:c r="H44" s="24"/>
      <x:c r="I44" s="24"/>
      <x:c r="J44" s="24"/>
      <x:c r="K44" s="26"/>
      <x:c r="L44" s="11" t="str">
        <x:f>IF(D44="","",IF(B44="","Finding link missing. ","")&amp;IF(E44="","Owner missing. ","")&amp;IF(F44="","Target date missing. ","")&amp;IF(AND(H44&lt;&gt;"",I44=""),"Decision owner missing. ","")&amp;IF(COUNTIFS($A$53:$A$72,A44)&gt;1,"Multiple verification rows; review. ",IF(COUNTIFS($A$53:$A$72,A44,$B$53:$B$72,"&lt;&gt;")=0,"Verification plan missing. ",""))&amp;IF(COUNTIFS($A$53:$A$72,A44,$F$53:$F$72,"Not effective")&gt;0,"Further follow-up needed. ",IF(COUNTIFS($A$53:$A$72,A44,$F$53:$F$72,"Inconclusive")&gt;0,"Effectiveness remains unresolved. ",IF(G44="Work completed",IF(AND(J44&lt;&gt;"",K44&lt;&gt;"",COUNTIFS($A$53:$A$72,A44,$F$53:$F$72,"Effective",$C$53:$C$72,"&lt;&gt;",$E$53:$E$72,"&gt;0",$G$53:$G$72,"&lt;&gt;")=1),"", "Completion / effectiveness evidence outstanding. "),""))))</x:f>
      </x:c>
    </x:row>
    <x:row r="45" ht="84" customHeight="1">
      <x:c r="A45" s="24" t="str">
        <x:v>A020</x:v>
      </x:c>
      <x:c r="B45" s="24"/>
      <x:c r="C45" s="24"/>
      <x:c r="D45" s="24"/>
      <x:c r="E45" s="24"/>
      <x:c r="F45" s="26"/>
      <x:c r="G45" s="24"/>
      <x:c r="H45" s="24"/>
      <x:c r="I45" s="24"/>
      <x:c r="J45" s="24"/>
      <x:c r="K45" s="26"/>
      <x:c r="L45" s="11" t="str">
        <x:f>IF(D45="","",IF(B45="","Finding link missing. ","")&amp;IF(E45="","Owner missing. ","")&amp;IF(F45="","Target date missing. ","")&amp;IF(AND(H45&lt;&gt;"",I45=""),"Decision owner missing. ","")&amp;IF(COUNTIFS($A$53:$A$72,A45)&gt;1,"Multiple verification rows; review. ",IF(COUNTIFS($A$53:$A$72,A45,$B$53:$B$72,"&lt;&gt;")=0,"Verification plan missing. ",""))&amp;IF(COUNTIFS($A$53:$A$72,A45,$F$53:$F$72,"Not effective")&gt;0,"Further follow-up needed. ",IF(COUNTIFS($A$53:$A$72,A45,$F$53:$F$72,"Inconclusive")&gt;0,"Effectiveness remains unresolved. ",IF(G45="Work completed",IF(AND(J45&lt;&gt;"",K45&lt;&gt;"",COUNTIFS($A$53:$A$72,A45,$F$53:$F$72,"Effective",$C$53:$C$72,"&lt;&gt;",$E$53:$E$72,"&gt;0",$G$53:$G$72,"&lt;&gt;")=1),"", "Completion / effectiveness evidence outstanding. "),""))))</x:f>
      </x:c>
    </x:row>
    <x:row r="46" ht="30" customHeight="1">
      <x:c r="A46" s="3"/>
      <x:c r="B46" s="3"/>
      <x:c r="C46" s="3"/>
      <x:c r="D46" s="3"/>
      <x:c r="E46" s="3"/>
      <x:c r="F46" s="3"/>
      <x:c r="G46" s="3"/>
      <x:c r="H46" s="3"/>
      <x:c r="I46" s="3"/>
      <x:c r="J46" s="3"/>
      <x:c r="K46" s="3"/>
      <x:c r="L46" s="3"/>
    </x:row>
    <x:row r="47" ht="30" customHeight="1">
      <x:c r="A47" s="3"/>
      <x:c r="B47" s="3"/>
      <x:c r="C47" s="3"/>
      <x:c r="D47" s="3"/>
      <x:c r="E47" s="3"/>
      <x:c r="F47" s="3"/>
      <x:c r="G47" s="3"/>
      <x:c r="H47" s="3"/>
      <x:c r="I47" s="3"/>
      <x:c r="J47" s="3"/>
      <x:c r="K47" s="3"/>
      <x:c r="L47" s="3"/>
    </x:row>
    <x:row r="48" ht="30" customHeight="1">
      <x:c r="A48" s="3"/>
      <x:c r="B48" s="3"/>
      <x:c r="C48" s="3"/>
      <x:c r="D48" s="3"/>
      <x:c r="E48" s="3"/>
      <x:c r="F48" s="3"/>
      <x:c r="G48" s="3"/>
      <x:c r="H48" s="3"/>
      <x:c r="I48" s="3"/>
      <x:c r="J48" s="3"/>
      <x:c r="K48" s="3"/>
      <x:c r="L48" s="3"/>
    </x:row>
    <x:row r="49" ht="26" customHeight="1">
      <x:c r="A49" s="9" t="str">
        <x:v>Effectiveness verification</x:v>
      </x:c>
      <x:c r="B49" s="3"/>
      <x:c r="C49" s="3"/>
      <x:c r="D49" s="3"/>
      <x:c r="E49" s="3"/>
      <x:c r="F49" s="3"/>
      <x:c r="G49" s="3"/>
      <x:c r="H49" s="3"/>
      <x:c r="I49" s="3"/>
      <x:c r="J49" s="3"/>
      <x:c r="K49" s="3"/>
      <x:c r="L49" s="3"/>
    </x:row>
    <x:row r="50" ht="30" customHeight="1">
      <x:c r="A50" s="8" t="str">
        <x:v>Use one row per action ID. Record the method before checking, then retain reviewer, date, result and evidence. Keep earlier attempts in the evidence reference.</x:v>
      </x:c>
      <x:c r="B50" s="3"/>
      <x:c r="C50" s="3"/>
      <x:c r="D50" s="3"/>
      <x:c r="E50" s="3"/>
      <x:c r="F50" s="3"/>
      <x:c r="G50" s="3"/>
      <x:c r="H50" s="3"/>
      <x:c r="I50" s="3"/>
      <x:c r="J50" s="3"/>
      <x:c r="K50" s="3"/>
      <x:c r="L50" s="3"/>
    </x:row>
    <x:row r="51" ht="30" customHeight="1">
      <x:c r="A51" s="3"/>
      <x:c r="B51" s="3"/>
      <x:c r="C51" s="3"/>
      <x:c r="D51" s="3"/>
      <x:c r="E51" s="3"/>
      <x:c r="F51" s="3"/>
      <x:c r="G51" s="3"/>
      <x:c r="H51" s="3"/>
      <x:c r="I51" s="3"/>
      <x:c r="J51" s="3"/>
      <x:c r="K51" s="3"/>
      <x:c r="L51" s="3"/>
    </x:row>
    <x:row r="52" ht="42" customHeight="1">
      <x:c r="A52" s="18" t="str">
        <x:v>Action ID</x:v>
      </x:c>
      <x:c r="B52" s="22" t="str">
        <x:v>Verification method / sample</x:v>
      </x:c>
      <x:c r="C52" s="22" t="str">
        <x:v>Responsible reviewer</x:v>
      </x:c>
      <x:c r="D52" s="22" t="str">
        <x:v>Planned check date</x:v>
      </x:c>
      <x:c r="E52" s="22" t="str">
        <x:v>Performed date</x:v>
      </x:c>
      <x:c r="F52" s="22" t="str">
        <x:v>Result</x:v>
      </x:c>
      <x:c r="G52" s="22" t="str">
        <x:v>Verification evidence</x:v>
      </x:c>
      <x:c r="H52" s="22" t="str">
        <x:v>Limits / remaining uncertainty</x:v>
      </x:c>
      <x:c r="I52" s="19" t="str">
        <x:v>Further action / decision</x:v>
      </x:c>
      <x:c r="J52" s="3"/>
      <x:c r="K52" s="3"/>
      <x:c r="L52" s="3"/>
    </x:row>
    <x:row r="53" ht="84" customHeight="1">
      <x:c r="A53" s="23"/>
      <x:c r="B53" s="23"/>
      <x:c r="C53" s="23"/>
      <x:c r="D53" s="25"/>
      <x:c r="E53" s="25"/>
      <x:c r="F53" s="23"/>
      <x:c r="G53" s="23"/>
      <x:c r="H53" s="23"/>
      <x:c r="I53" s="23"/>
      <x:c r="J53" s="3"/>
      <x:c r="K53" s="3"/>
      <x:c r="L53" s="3"/>
    </x:row>
    <x:row r="54" ht="84" customHeight="1">
      <x:c r="A54" s="24"/>
      <x:c r="B54" s="24"/>
      <x:c r="C54" s="24"/>
      <x:c r="D54" s="26"/>
      <x:c r="E54" s="26"/>
      <x:c r="F54" s="24"/>
      <x:c r="G54" s="24"/>
      <x:c r="H54" s="24"/>
      <x:c r="I54" s="24"/>
      <x:c r="J54" s="3"/>
      <x:c r="K54" s="3"/>
      <x:c r="L54" s="3"/>
    </x:row>
    <x:row r="55" ht="84" customHeight="1">
      <x:c r="A55" s="24"/>
      <x:c r="B55" s="24"/>
      <x:c r="C55" s="24"/>
      <x:c r="D55" s="26"/>
      <x:c r="E55" s="26"/>
      <x:c r="F55" s="24"/>
      <x:c r="G55" s="24"/>
      <x:c r="H55" s="24"/>
      <x:c r="I55" s="24"/>
      <x:c r="J55" s="3"/>
      <x:c r="K55" s="3"/>
      <x:c r="L55" s="3"/>
    </x:row>
    <x:row r="56" ht="84" customHeight="1">
      <x:c r="A56" s="24"/>
      <x:c r="B56" s="24"/>
      <x:c r="C56" s="24"/>
      <x:c r="D56" s="26"/>
      <x:c r="E56" s="26"/>
      <x:c r="F56" s="24"/>
      <x:c r="G56" s="24"/>
      <x:c r="H56" s="24"/>
      <x:c r="I56" s="24"/>
      <x:c r="J56" s="3"/>
      <x:c r="K56" s="3"/>
      <x:c r="L56" s="3"/>
    </x:row>
    <x:row r="57" ht="84" customHeight="1">
      <x:c r="A57" s="24"/>
      <x:c r="B57" s="24"/>
      <x:c r="C57" s="24"/>
      <x:c r="D57" s="26"/>
      <x:c r="E57" s="26"/>
      <x:c r="F57" s="24"/>
      <x:c r="G57" s="24"/>
      <x:c r="H57" s="24"/>
      <x:c r="I57" s="24"/>
      <x:c r="J57" s="3"/>
      <x:c r="K57" s="3"/>
      <x:c r="L57" s="3"/>
    </x:row>
    <x:row r="58" ht="84" customHeight="1">
      <x:c r="A58" s="24"/>
      <x:c r="B58" s="24"/>
      <x:c r="C58" s="24"/>
      <x:c r="D58" s="26"/>
      <x:c r="E58" s="26"/>
      <x:c r="F58" s="24"/>
      <x:c r="G58" s="24"/>
      <x:c r="H58" s="24"/>
      <x:c r="I58" s="24"/>
      <x:c r="J58" s="3"/>
      <x:c r="K58" s="3"/>
      <x:c r="L58" s="3"/>
    </x:row>
    <x:row r="59" ht="84" customHeight="1">
      <x:c r="A59" s="24"/>
      <x:c r="B59" s="24"/>
      <x:c r="C59" s="24"/>
      <x:c r="D59" s="26"/>
      <x:c r="E59" s="26"/>
      <x:c r="F59" s="24"/>
      <x:c r="G59" s="24"/>
      <x:c r="H59" s="24"/>
      <x:c r="I59" s="24"/>
      <x:c r="J59" s="3"/>
      <x:c r="K59" s="3"/>
      <x:c r="L59" s="3"/>
    </x:row>
    <x:row r="60" ht="84" customHeight="1">
      <x:c r="A60" s="24"/>
      <x:c r="B60" s="24"/>
      <x:c r="C60" s="24"/>
      <x:c r="D60" s="26"/>
      <x:c r="E60" s="26"/>
      <x:c r="F60" s="24"/>
      <x:c r="G60" s="24"/>
      <x:c r="H60" s="24"/>
      <x:c r="I60" s="24"/>
      <x:c r="J60" s="3"/>
      <x:c r="K60" s="3"/>
      <x:c r="L60" s="3"/>
    </x:row>
    <x:row r="61" ht="84" customHeight="1">
      <x:c r="A61" s="24"/>
      <x:c r="B61" s="24"/>
      <x:c r="C61" s="24"/>
      <x:c r="D61" s="26"/>
      <x:c r="E61" s="26"/>
      <x:c r="F61" s="24"/>
      <x:c r="G61" s="24"/>
      <x:c r="H61" s="24"/>
      <x:c r="I61" s="24"/>
      <x:c r="J61" s="3"/>
      <x:c r="K61" s="3"/>
      <x:c r="L61" s="3"/>
    </x:row>
    <x:row r="62" ht="84" customHeight="1">
      <x:c r="A62" s="24"/>
      <x:c r="B62" s="24"/>
      <x:c r="C62" s="24"/>
      <x:c r="D62" s="26"/>
      <x:c r="E62" s="26"/>
      <x:c r="F62" s="24"/>
      <x:c r="G62" s="24"/>
      <x:c r="H62" s="24"/>
      <x:c r="I62" s="24"/>
      <x:c r="J62" s="3"/>
      <x:c r="K62" s="3"/>
      <x:c r="L62" s="3"/>
    </x:row>
    <x:row r="63" ht="84" customHeight="1">
      <x:c r="A63" s="24"/>
      <x:c r="B63" s="24"/>
      <x:c r="C63" s="24"/>
      <x:c r="D63" s="26"/>
      <x:c r="E63" s="26"/>
      <x:c r="F63" s="24"/>
      <x:c r="G63" s="24"/>
      <x:c r="H63" s="24"/>
      <x:c r="I63" s="24"/>
      <x:c r="J63" s="3"/>
      <x:c r="K63" s="3"/>
      <x:c r="L63" s="3"/>
    </x:row>
    <x:row r="64" ht="84" customHeight="1">
      <x:c r="A64" s="24"/>
      <x:c r="B64" s="24"/>
      <x:c r="C64" s="24"/>
      <x:c r="D64" s="26"/>
      <x:c r="E64" s="26"/>
      <x:c r="F64" s="24"/>
      <x:c r="G64" s="24"/>
      <x:c r="H64" s="24"/>
      <x:c r="I64" s="24"/>
      <x:c r="J64" s="3"/>
      <x:c r="K64" s="3"/>
      <x:c r="L64" s="3"/>
    </x:row>
    <x:row r="65" ht="84" customHeight="1">
      <x:c r="A65" s="24"/>
      <x:c r="B65" s="24"/>
      <x:c r="C65" s="24"/>
      <x:c r="D65" s="26"/>
      <x:c r="E65" s="26"/>
      <x:c r="F65" s="24"/>
      <x:c r="G65" s="24"/>
      <x:c r="H65" s="24"/>
      <x:c r="I65" s="24"/>
      <x:c r="J65" s="3"/>
      <x:c r="K65" s="3"/>
      <x:c r="L65" s="3"/>
    </x:row>
    <x:row r="66" ht="84" customHeight="1">
      <x:c r="A66" s="24"/>
      <x:c r="B66" s="24"/>
      <x:c r="C66" s="24"/>
      <x:c r="D66" s="26"/>
      <x:c r="E66" s="26"/>
      <x:c r="F66" s="24"/>
      <x:c r="G66" s="24"/>
      <x:c r="H66" s="24"/>
      <x:c r="I66" s="24"/>
      <x:c r="J66" s="3"/>
      <x:c r="K66" s="3"/>
      <x:c r="L66" s="3"/>
    </x:row>
    <x:row r="67" ht="84" customHeight="1">
      <x:c r="A67" s="24"/>
      <x:c r="B67" s="24"/>
      <x:c r="C67" s="24"/>
      <x:c r="D67" s="26"/>
      <x:c r="E67" s="26"/>
      <x:c r="F67" s="24"/>
      <x:c r="G67" s="24"/>
      <x:c r="H67" s="24"/>
      <x:c r="I67" s="24"/>
      <x:c r="J67" s="3"/>
      <x:c r="K67" s="3"/>
      <x:c r="L67" s="3"/>
    </x:row>
    <x:row r="68" ht="84" customHeight="1">
      <x:c r="A68" s="24"/>
      <x:c r="B68" s="24"/>
      <x:c r="C68" s="24"/>
      <x:c r="D68" s="26"/>
      <x:c r="E68" s="26"/>
      <x:c r="F68" s="24"/>
      <x:c r="G68" s="24"/>
      <x:c r="H68" s="24"/>
      <x:c r="I68" s="24"/>
      <x:c r="J68" s="3"/>
      <x:c r="K68" s="3"/>
      <x:c r="L68" s="3"/>
    </x:row>
    <x:row r="69" ht="84" customHeight="1">
      <x:c r="A69" s="24"/>
      <x:c r="B69" s="24"/>
      <x:c r="C69" s="24"/>
      <x:c r="D69" s="26"/>
      <x:c r="E69" s="26"/>
      <x:c r="F69" s="24"/>
      <x:c r="G69" s="24"/>
      <x:c r="H69" s="24"/>
      <x:c r="I69" s="24"/>
      <x:c r="J69" s="3"/>
      <x:c r="K69" s="3"/>
      <x:c r="L69" s="3"/>
    </x:row>
    <x:row r="70" ht="84" customHeight="1">
      <x:c r="A70" s="24"/>
      <x:c r="B70" s="24"/>
      <x:c r="C70" s="24"/>
      <x:c r="D70" s="26"/>
      <x:c r="E70" s="26"/>
      <x:c r="F70" s="24"/>
      <x:c r="G70" s="24"/>
      <x:c r="H70" s="24"/>
      <x:c r="I70" s="24"/>
      <x:c r="J70" s="3"/>
      <x:c r="K70" s="3"/>
      <x:c r="L70" s="3"/>
    </x:row>
    <x:row r="71" ht="84" customHeight="1">
      <x:c r="A71" s="24"/>
      <x:c r="B71" s="24"/>
      <x:c r="C71" s="24"/>
      <x:c r="D71" s="26"/>
      <x:c r="E71" s="26"/>
      <x:c r="F71" s="24"/>
      <x:c r="G71" s="24"/>
      <x:c r="H71" s="24"/>
      <x:c r="I71" s="24"/>
      <x:c r="J71" s="3"/>
      <x:c r="K71" s="3"/>
      <x:c r="L71" s="3"/>
    </x:row>
    <x:row r="72" ht="84" customHeight="1">
      <x:c r="A72" s="24"/>
      <x:c r="B72" s="24"/>
      <x:c r="C72" s="24"/>
      <x:c r="D72" s="26"/>
      <x:c r="E72" s="26"/>
      <x:c r="F72" s="24"/>
      <x:c r="G72" s="24"/>
      <x:c r="H72" s="24"/>
      <x:c r="I72" s="24"/>
      <x:c r="J72" s="3"/>
      <x:c r="K72" s="3"/>
      <x:c r="L72" s="3"/>
    </x:row>
    <x:row r="73" ht="30" customHeight="1">
      <x:c r="A73" s="3"/>
      <x:c r="B73" s="3"/>
      <x:c r="C73" s="3"/>
      <x:c r="D73" s="3"/>
      <x:c r="E73" s="3"/>
      <x:c r="F73" s="3"/>
      <x:c r="G73" s="3"/>
      <x:c r="H73" s="3"/>
      <x:c r="I73" s="3"/>
      <x:c r="J73" s="3"/>
      <x:c r="K73" s="3"/>
      <x:c r="L73" s="3"/>
    </x:row>
    <x:row r="74" ht="30" customHeight="1">
      <x:c r="A74" s="3"/>
      <x:c r="B74" s="3"/>
      <x:c r="C74" s="3"/>
      <x:c r="D74" s="3"/>
      <x:c r="E74" s="3"/>
      <x:c r="F74" s="3"/>
      <x:c r="G74" s="3"/>
      <x:c r="H74" s="3"/>
      <x:c r="I74" s="3"/>
      <x:c r="J74" s="3"/>
      <x:c r="K74" s="3"/>
      <x:c r="L74" s="3"/>
    </x:row>
    <x:row r="75" ht="30" customHeight="1">
      <x:c r="A75" s="3"/>
      <x:c r="B75" s="3"/>
      <x:c r="C75" s="3"/>
      <x:c r="D75" s="3"/>
      <x:c r="E75" s="3"/>
      <x:c r="F75" s="3"/>
      <x:c r="G75" s="3"/>
      <x:c r="H75" s="3"/>
      <x:c r="I75" s="3"/>
      <x:c r="J75" s="3"/>
      <x:c r="K75" s="3"/>
      <x:c r="L75" s="3"/>
    </x:row>
    <x:row r="76" ht="30" customHeight="1">
      <x:c r="A76" s="8" t="str">
        <x:v>Custom rows: extend the relevant Excel table and give every finding and action a unique ID. The gap prompts are planning reminders, not an overall audit verdict.</x:v>
      </x:c>
      <x:c r="B76" s="3"/>
      <x:c r="C76" s="3"/>
      <x:c r="D76" s="3"/>
      <x:c r="E76" s="3"/>
      <x:c r="F76" s="3"/>
      <x:c r="G76" s="3"/>
      <x:c r="H76" s="3"/>
      <x:c r="I76" s="3"/>
      <x:c r="J76" s="3"/>
      <x:c r="K76" s="3"/>
      <x:c r="L76" s="3"/>
    </x:row>
    <x:row r="77" ht="30" customHeight="1">
      <x:c r="A77" s="3"/>
      <x:c r="B77" s="3"/>
      <x:c r="C77" s="3"/>
      <x:c r="D77" s="3"/>
      <x:c r="E77" s="3"/>
      <x:c r="F77" s="3"/>
      <x:c r="G77" s="3"/>
      <x:c r="H77" s="3"/>
      <x:c r="I77" s="3"/>
      <x:c r="J77" s="3"/>
      <x:c r="K77" s="3"/>
      <x:c r="L77" s="3"/>
    </x:row>
    <x:row r="78" ht="30" customHeight="1">
      <x:c r="A78" s="3"/>
      <x:c r="B78" s="3"/>
      <x:c r="C78" s="3"/>
      <x:c r="D78" s="3"/>
      <x:c r="E78" s="3"/>
      <x:c r="F78" s="3"/>
      <x:c r="G78" s="3"/>
      <x:c r="H78" s="3"/>
      <x:c r="I78" s="3"/>
      <x:c r="J78" s="3"/>
      <x:c r="K78" s="3"/>
      <x:c r="L78" s="3"/>
    </x:row>
    <x:row r="79" ht="30" customHeight="1">
      <x:c r="A79" s="3"/>
      <x:c r="B79" s="3"/>
      <x:c r="C79" s="3"/>
      <x:c r="D79" s="3"/>
      <x:c r="E79" s="3"/>
      <x:c r="F79" s="3"/>
      <x:c r="G79" s="3"/>
      <x:c r="H79" s="3"/>
      <x:c r="I79" s="3"/>
      <x:c r="J79" s="3"/>
      <x:c r="K79" s="3"/>
      <x:c r="L79" s="3"/>
    </x:row>
    <x:row r="80" ht="30" customHeight="1">
      <x:c r="A80" s="3"/>
      <x:c r="B80" s="3"/>
      <x:c r="C80" s="3"/>
      <x:c r="D80" s="3"/>
      <x:c r="E80" s="3"/>
      <x:c r="F80" s="3"/>
      <x:c r="G80" s="3"/>
      <x:c r="H80" s="3"/>
      <x:c r="I80" s="3"/>
      <x:c r="J80" s="3"/>
      <x:c r="K80" s="3"/>
      <x:c r="L80" s="3"/>
    </x:row>
    <x:row r="81" ht="30" customHeight="1">
      <x:c r="A81" s="3"/>
      <x:c r="B81" s="3"/>
      <x:c r="C81" s="3"/>
      <x:c r="D81" s="3"/>
      <x:c r="E81" s="3"/>
      <x:c r="F81" s="3"/>
      <x:c r="G81" s="3"/>
      <x:c r="H81" s="3"/>
      <x:c r="I81" s="3"/>
      <x:c r="J81" s="3"/>
      <x:c r="K81" s="3"/>
      <x:c r="L81" s="3"/>
    </x:row>
  </x:sheetData>
  <x:mergeCells>
    <x:mergeCell ref="A2:D2"/>
  </x:mergeCells>
  <x:conditionalFormatting sqref="I8:I19">
    <x:cfRule type="cellIs" dxfId="2" priority="1" operator="equal">
      <x:formula>"User-flagged urgent concern"</x:formula>
    </x:cfRule>
  </x:conditionalFormatting>
  <x:conditionalFormatting sqref="L26:L45">
    <x:cfRule type="containsText" dxfId="3" priority="2" operator="containsText" text="missing"/>
  </x:conditionalFormatting>
  <x:dataValidations count="4">
    <x:dataValidation type="list" sqref="I8:I19">
      <x:formula1>"Not assessed,Routine follow-up,User-flagged urgent concern"</x:formula1>
    </x:dataValidation>
    <x:dataValidation type="list" sqref="C26:C45">
      <x:formula1>"Immediate correction,Investigation,Corrective action,Verification"</x:formula1>
    </x:dataValidation>
    <x:dataValidation type="list" sqref="G26:G45">
      <x:formula1>"Not started,In progress,Blocked,Work completed"</x:formula1>
    </x:dataValidation>
    <x:dataValidation type="list" sqref="F53:F72">
      <x:formula1>"Not yet checked,Effective,Not effective,Inconclusive"</x:formula1>
    </x:dataValidation>
  </x:dataValidations>
  <x:pageMargins left="0.7" right="0.7" top="0.75" bottom="0.75" header="0.3" footer="0.3"/>
  <x:tableParts count="3">
    <x:tablePart xmlns:r="http://schemas.openxmlformats.org/officeDocument/2006/relationships" r:id="R3ae7a6b90c35430a"/>
    <x:tablePart xmlns:r="http://schemas.openxmlformats.org/officeDocument/2006/relationships" r:id="R1760d98085fc4cef"/>
    <x:tablePart xmlns:r="http://schemas.openxmlformats.org/officeDocument/2006/relationships" r:id="R4fae9c090dd44601"/>
  </x:tableParts>
</x:worksheet>
</file>

<file path=xl/worksheets/sheet5.xml><?xml version="1.0" encoding="utf-8"?>
<x:worksheet xmlns:x="http://schemas.openxmlformats.org/spreadsheetml/2006/main">
  <x:sheetPr>
    <x:tabColor rgb="FF171411"/>
  </x:sheetPr>
  <x:sheetViews>
    <x:sheetView showGridLines="0" workbookViewId="0"/>
  </x:sheetViews>
  <x:sheetFormatPr defaultRowHeight="15"/>
  <x:cols>
    <x:col min="1" max="1" width="30" hidden="0" customWidth="1"/>
    <x:col min="2" max="2" width="78" hidden="0" customWidth="1"/>
    <x:col min="3" max="3" width="78" hidden="0" customWidth="1"/>
    <x:col min="4" max="4" width="28" hidden="0" customWidth="1"/>
  </x:cols>
  <x:sheetData>
    <x:row r="1" ht="30" customHeight="1">
      <x:c r="A1" s="3"/>
      <x:c r="B1" s="3"/>
      <x:c r="C1" s="3"/>
      <x:c r="D1" s="3"/>
    </x:row>
    <x:row r="2" ht="36" customHeight="1">
      <x:c r="A2" s="4" t="str">
        <x:v>Management review</x:v>
      </x:c>
      <x:c r="B2" s="3"/>
      <x:c r="C2" s="3"/>
      <x:c r="D2" s="3"/>
    </x:row>
    <x:row r="3" ht="30" customHeight="1">
      <x:c r="A3" s="5"/>
      <x:c r="B3" s="5"/>
      <x:c r="C3" s="5"/>
      <x:c r="D3" s="5"/>
    </x:row>
    <x:row r="4" ht="30" customHeight="1">
      <x:c r="A4" s="3" t="str">
        <x:v>Meeting date</x:v>
      </x:c>
      <x:c r="B4" s="28"/>
      <x:c r="C4" s="3"/>
      <x:c r="D4" s="3"/>
    </x:row>
    <x:row r="5" ht="30" customHeight="1">
      <x:c r="A5" s="3" t="str">
        <x:v>Decision owner / attendees</x:v>
      </x:c>
      <x:c r="B5" s="27"/>
      <x:c r="C5" s="3"/>
      <x:c r="D5" s="3"/>
    </x:row>
    <x:row r="6" ht="30" customHeight="1">
      <x:c r="A6" s="3" t="str">
        <x:v>Review / scope reference</x:v>
      </x:c>
      <x:c r="B6" s="27"/>
      <x:c r="C6" s="3"/>
      <x:c r="D6" s="3"/>
    </x:row>
    <x:row r="7" ht="30" customHeight="1">
      <x:c r="A7" s="3"/>
      <x:c r="B7" s="3"/>
      <x:c r="C7" s="3"/>
      <x:c r="D7" s="3"/>
    </x:row>
    <x:row r="8" ht="42" customHeight="1">
      <x:c r="A8" s="18" t="str">
        <x:v>Review topic</x:v>
      </x:c>
      <x:c r="B8" s="22" t="str">
        <x:v>Prompt</x:v>
      </x:c>
      <x:c r="C8" s="19" t="str">
        <x:v>Meeting record / decision</x:v>
      </x:c>
      <x:c r="D8" s="3"/>
    </x:row>
    <x:row r="9" ht="90" customHeight="1">
      <x:c r="A9" s="10" t="str">
        <x:v>Decision to make</x:v>
      </x:c>
      <x:c r="B9" s="10" t="str">
        <x:v>What decision is requested, and who has authority to make it?</x:v>
      </x:c>
      <x:c r="C9" s="23"/>
      <x:c r="D9" s="3"/>
    </x:row>
    <x:row r="10" ht="90" customHeight="1">
      <x:c r="A10" s="11" t="str">
        <x:v>Scope and limits</x:v>
      </x:c>
      <x:c r="B10" s="11" t="str">
        <x:v>Which site, period, goods and sample support this brief? What was excluded?</x:v>
      </x:c>
      <x:c r="C10" s="24"/>
      <x:c r="D10" s="3"/>
    </x:row>
    <x:row r="11" ht="90" customHeight="1">
      <x:c r="A11" s="11" t="str">
        <x:v>Findings and consequences</x:v>
      </x:c>
      <x:c r="B11" s="11" t="str">
        <x:v>What does the evidence establish, against which requirement, and what decision or activity does it affect?</x:v>
      </x:c>
      <x:c r="C11" s="24"/>
      <x:c r="D11" s="3"/>
    </x:row>
    <x:row r="12" ht="90" customHeight="1">
      <x:c r="A12" s="11" t="str">
        <x:v>Open evidence and criteria</x:v>
      </x:c>
      <x:c r="B12" s="11" t="str">
        <x:v>What remains missing, uncertain or conflicting? What evidence could change the decision?</x:v>
      </x:c>
      <x:c r="C12" s="24"/>
      <x:c r="D12" s="3"/>
    </x:row>
    <x:row r="13" ht="90" customHeight="1">
      <x:c r="A13" s="11" t="str">
        <x:v>User-flagged urgent concerns</x:v>
      </x:c>
      <x:c r="B13" s="11" t="str">
        <x:v>Record any concern the reviewer has flagged as urgent and its responsible response owner. Do not average it into an overall score.</x:v>
      </x:c>
      <x:c r="C13" s="24"/>
      <x:c r="D13" s="3"/>
    </x:row>
    <x:row r="14" ht="90" customHeight="1">
      <x:c r="A14" s="11" t="str">
        <x:v>Options and resources</x:v>
      </x:c>
      <x:c r="B14" s="11" t="str">
        <x:v>What options are supported, what resources or approvals are needed, and what remains undecided?</x:v>
      </x:c>
      <x:c r="C14" s="24"/>
      <x:c r="D14" s="3"/>
    </x:row>
    <x:row r="15" ht="90" customHeight="1">
      <x:c r="A15" s="11" t="str">
        <x:v>Decision and commitments</x:v>
      </x:c>
      <x:c r="B15" s="11" t="str">
        <x:v>Record the decision, rationale, action owners, target dates and any unresolved dependency.</x:v>
      </x:c>
      <x:c r="C15" s="24"/>
      <x:c r="D15" s="3"/>
    </x:row>
    <x:row r="16" ht="90" customHeight="1">
      <x:c r="A16" s="11" t="str">
        <x:v>Follow-through</x:v>
      </x:c>
      <x:c r="B16" s="11" t="str">
        <x:v>Who checks effectiveness, using what evidence and when? What happens if the concern remains or returns?</x:v>
      </x:c>
      <x:c r="C16" s="24"/>
      <x:c r="D16" s="3"/>
    </x:row>
    <x:row r="17" ht="30" customHeight="1">
      <x:c r="A17" s="3"/>
      <x:c r="B17" s="3"/>
      <x:c r="C17" s="3"/>
      <x:c r="D17" s="3"/>
    </x:row>
    <x:row r="18" ht="30" customHeight="1">
      <x:c r="A18" s="3"/>
      <x:c r="B18" s="3"/>
      <x:c r="C18" s="3"/>
      <x:c r="D18" s="3"/>
    </x:row>
    <x:row r="19" ht="26" customHeight="1">
      <x:c r="A19" s="9" t="str">
        <x:v>Decisions and follow-through</x:v>
      </x:c>
      <x:c r="B19" s="3"/>
      <x:c r="C19" s="3"/>
      <x:c r="D19" s="3"/>
    </x:row>
    <x:row r="20" ht="30" customHeight="1">
      <x:c r="A20" s="3"/>
      <x:c r="B20" s="3"/>
      <x:c r="C20" s="3"/>
      <x:c r="D20" s="3"/>
    </x:row>
    <x:row r="21" ht="42" customHeight="1">
      <x:c r="A21" s="18" t="str">
        <x:v>Decision / linked finding IDs</x:v>
      </x:c>
      <x:c r="B21" s="22" t="str">
        <x:v>Decision and rationale / resources</x:v>
      </x:c>
      <x:c r="C21" s="22" t="str">
        <x:v>Responsible owner / target date</x:v>
      </x:c>
      <x:c r="D21" s="19" t="str">
        <x:v>Action / verification reference</x:v>
      </x:c>
    </x:row>
    <x:row r="22" ht="72" customHeight="1">
      <x:c r="A22" s="23"/>
      <x:c r="B22" s="23"/>
      <x:c r="C22" s="23"/>
      <x:c r="D22" s="23"/>
    </x:row>
    <x:row r="23" ht="72" customHeight="1">
      <x:c r="A23" s="24"/>
      <x:c r="B23" s="24"/>
      <x:c r="C23" s="24"/>
      <x:c r="D23" s="24"/>
    </x:row>
    <x:row r="24" ht="72" customHeight="1">
      <x:c r="A24" s="24"/>
      <x:c r="B24" s="24"/>
      <x:c r="C24" s="24"/>
      <x:c r="D24" s="24"/>
    </x:row>
    <x:row r="25" ht="72" customHeight="1">
      <x:c r="A25" s="24"/>
      <x:c r="B25" s="24"/>
      <x:c r="C25" s="24"/>
      <x:c r="D25" s="24"/>
    </x:row>
    <x:row r="26" ht="72" customHeight="1">
      <x:c r="A26" s="24"/>
      <x:c r="B26" s="24"/>
      <x:c r="C26" s="24"/>
      <x:c r="D26" s="24"/>
    </x:row>
    <x:row r="27" ht="72" customHeight="1">
      <x:c r="A27" s="24"/>
      <x:c r="B27" s="24"/>
      <x:c r="C27" s="24"/>
      <x:c r="D27" s="24"/>
    </x:row>
    <x:row r="28" ht="72" customHeight="1">
      <x:c r="A28" s="24"/>
      <x:c r="B28" s="24"/>
      <x:c r="C28" s="24"/>
      <x:c r="D28" s="24"/>
    </x:row>
    <x:row r="29" ht="72" customHeight="1">
      <x:c r="A29" s="24"/>
      <x:c r="B29" s="24"/>
      <x:c r="C29" s="24"/>
      <x:c r="D29" s="24"/>
    </x:row>
    <x:row r="30" ht="30" customHeight="1">
      <x:c r="A30" s="3"/>
      <x:c r="B30" s="3"/>
      <x:c r="C30" s="3"/>
      <x:c r="D30" s="3"/>
    </x:row>
    <x:row r="31" ht="30" customHeight="1">
      <x:c r="A31" s="3"/>
      <x:c r="B31" s="3"/>
      <x:c r="C31" s="3"/>
      <x:c r="D31" s="3"/>
    </x:row>
    <x:row r="32" ht="30" customHeight="1">
      <x:c r="A32" s="8" t="str">
        <x:v>Carry the site, period, sample and uncertainty into any extracted briefing. Do not turn the number of reviewed checks into a safety, compliance or warehouse-health score.</x:v>
      </x:c>
      <x:c r="B32" s="3"/>
      <x:c r="C32" s="3"/>
      <x:c r="D32" s="3"/>
    </x:row>
    <x:row r="33" ht="30" customHeight="1">
      <x:c r="A33" s="3"/>
      <x:c r="B33" s="3"/>
      <x:c r="C33" s="3"/>
      <x:c r="D33" s="3"/>
    </x:row>
    <x:row r="34" ht="30" customHeight="1">
      <x:c r="A34" s="3"/>
      <x:c r="B34" s="3"/>
      <x:c r="C34" s="3"/>
      <x:c r="D34" s="3"/>
    </x:row>
    <x:row r="35" ht="30" customHeight="1">
      <x:c r="A35" s="3"/>
      <x:c r="B35" s="3"/>
      <x:c r="C35" s="3"/>
      <x:c r="D35" s="3"/>
    </x:row>
  </x:sheetData>
  <x:mergeCells>
    <x:mergeCell ref="A2:D2"/>
  </x:mergeCells>
  <x:pageMargins left="0.7" right="0.7" top="0.75" bottom="0.75" header="0.3" footer="0.3"/>
  <x:tableParts count="2">
    <x:tablePart xmlns:r="http://schemas.openxmlformats.org/officeDocument/2006/relationships" r:id="Red59d1b753ff4e59"/>
    <x:tablePart xmlns:r="http://schemas.openxmlformats.org/officeDocument/2006/relationships" r:id="R9e0902d83287447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125" hidden="0" customWidth="1"/>
  </x:cols>
  <x:sheetData>
    <x:row r="1" ht="30" customHeight="1">
      <x:c r="A1" s="3"/>
      <x:c r="B1" s="3"/>
    </x:row>
    <x:row r="2" ht="36" customHeight="1">
      <x:c r="A2" s="4" t="str">
        <x:v>Fictional worked examples</x:v>
      </x:c>
      <x:c r="B2" s="3"/>
    </x:row>
    <x:row r="3" ht="30" customHeight="1">
      <x:c r="A3" s="5"/>
      <x:c r="B3" s="5"/>
      <x:c r="C3" s="6"/>
      <x:c r="D3" s="6"/>
    </x:row>
    <x:row r="4" ht="36" customHeight="1">
      <x:c r="A4" s="3"/>
      <x:c r="B4" s="8" t="str">
        <x:v>These examples are separate from the blank working records. Unknowns stay explicit; no final diagnosis or decision is invented.</x:v>
      </x:c>
    </x:row>
    <x:row r="5" ht="30" customHeight="1">
      <x:c r="A5" s="3"/>
      <x:c r="B5" s="3"/>
    </x:row>
    <x:row r="6" ht="26" customHeight="1">
      <x:c r="A6" s="9" t="str">
        <x:v>Repeated inventory discrepancy</x:v>
      </x:c>
      <x:c r="B6" s="3"/>
    </x:row>
    <x:row r="7" ht="30" customHeight="1">
      <x:c r="A7" s="29" t="str">
        <x:v>Example status</x:v>
      </x:c>
      <x:c r="B7" s="29" t="str">
        <x:v>Fictional worked example — investigation remains open</x:v>
      </x:c>
    </x:row>
    <x:row r="8" ht="42" customHeight="1">
      <x:c r="A8" s="7" t="str">
        <x:v>Purpose</x:v>
      </x:c>
      <x:c r="B8" s="7" t="str">
        <x:v>Show how a confirmed difference can be recorded without inventing its cause or treating a balance adjustment as closure.</x:v>
      </x:c>
    </x:row>
    <x:row r="9" ht="30" customHeight="1">
      <x:c r="A9" s="3"/>
      <x:c r="B9" s="3"/>
    </x:row>
    <x:row r="10" ht="45" customHeight="1">
      <x:c r="A10" s="7" t="str">
        <x:v>Decision or question</x:v>
      </x:c>
      <x:c r="B10" s="7" t="str">
        <x:v>What explains the recurring difference, and what action should follow?</x:v>
      </x:c>
    </x:row>
    <x:row r="11" ht="45" customHeight="1">
      <x:c r="A11" s="7" t="str">
        <x:v>Site or area alias</x:v>
      </x:c>
      <x:c r="B11" s="7" t="str">
        <x:v>Example bin A-01</x:v>
      </x:c>
    </x:row>
    <x:row r="12" ht="45" customHeight="1">
      <x:c r="A12" s="7" t="str">
        <x:v>Review date or period</x:v>
      </x:c>
      <x:c r="B12" s="7" t="str">
        <x:v>Comparison time and review dates not yet recorded.</x:v>
      </x:c>
    </x:row>
    <x:row r="13" ht="45" customHeight="1">
      <x:c r="A13" s="7" t="str">
        <x:v>Operating conditions</x:v>
      </x:c>
      <x:c r="B13" s="7" t="str">
        <x:v>Movement timing and unit history remain to be reconciled.</x:v>
      </x:c>
    </x:row>
    <x:row r="14" ht="45" customHeight="1">
      <x:c r="A14" s="7" t="str">
        <x:v>Coverage and sample</x:v>
      </x:c>
      <x:c r="B14" s="7" t="str">
        <x:v>SKU-104 in bin A-01; count, recount and selected receipt/issue records. Linked checks INV01, INV02 and INV03.</x:v>
      </x:c>
    </x:row>
    <x:row r="15" ht="45" customHeight="1">
      <x:c r="A15" s="7" t="str">
        <x:v>Exclusions and limits</x:v>
      </x:c>
      <x:c r="B15" s="7" t="str">
        <x:v>This one-item example does not establish the condition of the whole inventory.</x:v>
      </x:c>
    </x:row>
    <x:row r="16" ht="45" customHeight="1">
      <x:c r="A16" s="7" t="str">
        <x:v>Criteria and versions</x:v>
      </x:c>
      <x:c r="B16" s="7" t="str">
        <x:v>Site inventory procedure identified; version, comparison boundary and applicable steps not yet recorded.</x:v>
      </x:c>
    </x:row>
    <x:row r="17" ht="45" customHeight="1">
      <x:c r="A17" s="7" t="str">
        <x:v>Reviewer and evidence providers</x:v>
      </x:c>
      <x:c r="B17" s="7" t="str">
        <x:v>Reviewer and any required independent verification not yet assigned.</x:v>
      </x:c>
    </x:row>
    <x:row r="18" ht="45" customHeight="1">
      <x:c r="A18" s="7" t="str">
        <x:v>Action responsibilities</x:v>
      </x:c>
      <x:c r="B18" s="7" t="str">
        <x:v>Inventory lead, working with the process/system owner.</x:v>
      </x:c>
    </x:row>
    <x:row r="19" ht="45" customHeight="1">
      <x:c r="A19" s="7" t="str">
        <x:v>Decision owner</x:v>
      </x:c>
      <x:c r="B19" s="7" t="str">
        <x:v>Adjustment or resource authority to be established under the site's procedure.</x:v>
      </x:c>
    </x:row>
    <x:row r="20" ht="30" customHeight="1">
      <x:c r="A20" s="3"/>
      <x:c r="B20" s="3"/>
    </x:row>
    <x:row r="21" ht="26" customHeight="1">
      <x:c r="A21" s="9" t="str">
        <x:v>EX-INV-01: 11 counted; 12 recorded</x:v>
      </x:c>
      <x:c r="B21" s="3"/>
    </x:row>
    <x:row r="22" ht="42" customHeight="1">
      <x:c r="A22" s="7" t="str">
        <x:v>Finding ID</x:v>
      </x:c>
      <x:c r="B22" s="7" t="str">
        <x:v>EX-INV-01</x:v>
      </x:c>
    </x:row>
    <x:row r="23" ht="42" customHeight="1">
      <x:c r="A23" s="7" t="str">
        <x:v>Linked check IDs</x:v>
      </x:c>
      <x:c r="B23" s="7" t="str">
        <x:v>INV01, INV02, INV03</x:v>
      </x:c>
    </x:row>
    <x:row r="24" ht="42" customHeight="1">
      <x:c r="A24" s="7" t="str">
        <x:v>Issue</x:v>
      </x:c>
      <x:c r="B24" s="7" t="str">
        <x:v>11 counted; 12 recorded</x:v>
      </x:c>
    </x:row>
    <x:row r="25" ht="42" customHeight="1">
      <x:c r="A25" s="7" t="str">
        <x:v>Review status</x:v>
      </x:c>
      <x:c r="B25" s="7" t="str">
        <x:v>Concern found</x:v>
      </x:c>
    </x:row>
    <x:row r="26" ht="42" customHeight="1">
      <x:c r="A26" s="7" t="str">
        <x:v>Criterion / reference</x:v>
      </x:c>
      <x:c r="B26" s="7" t="str">
        <x:v>Site inventory procedure. Version and effective comparison criteria not yet recorded.</x:v>
      </x:c>
    </x:row>
    <x:row r="27" ht="60" customHeight="1">
      <x:c r="A27" s="7" t="str">
        <x:v>Observation</x:v>
      </x:c>
      <x:c r="B27" s="7" t="str">
        <x:v>The physical count for SKU-104 in bin A-01 is 11 units; the inventory record shows 12. A recount confirms 11.</x:v>
      </x:c>
    </x:row>
    <x:row r="28" ht="42" customHeight="1">
      <x:c r="A28" s="7" t="str">
        <x:v>Evidence obtained</x:v>
      </x:c>
      <x:c r="B28" s="7" t="str">
        <x:v>Count note, recount, stock-record comparison and references to selected receipt/issue records in this fictional case.</x:v>
      </x:c>
    </x:row>
    <x:row r="29" ht="60" customHeight="1">
      <x:c r="A29" s="7" t="str">
        <x:v>Evidence still needed</x:v>
      </x:c>
      <x:c r="B29" s="7" t="str">
        <x:v>Reconcile receipt/issue timing, the record snapshot and unit/pack definitions at the comparison point.</x:v>
      </x:c>
    </x:row>
    <x:row r="30" ht="60" customHeight="1">
      <x:c r="A30" s="7" t="str">
        <x:v>Uncertainty</x:v>
      </x:c>
      <x:c r="B30" s="7" t="str">
        <x:v>The difference is confirmed. Its cause, full transaction boundary and required action remain unresolved.</x:v>
      </x:c>
    </x:row>
    <x:row r="31" ht="42" customHeight="1">
      <x:c r="A31" s="7" t="str">
        <x:v>Possible cause (hypothesis)</x:v>
      </x:c>
      <x:c r="B31" s="7" t="str">
        <x:v>Hypothesis only: unit-of-measure or transaction-timing issue. Neither is established.</x:v>
      </x:c>
    </x:row>
    <x:row r="32" ht="60" customHeight="1">
      <x:c r="A32" s="7" t="str">
        <x:v>Next action</x:v>
      </x:c>
      <x:c r="B32" s="7" t="str">
        <x:v>Compare the receipt/issue trail and unit definitions with the process/system owner. Retain the explanation supported by evidence. Handle any balance adjustment separately under the authorised process.</x:v>
      </x:c>
    </x:row>
    <x:row r="33" ht="42" customHeight="1">
      <x:c r="A33" s="7" t="str">
        <x:v>Action type</x:v>
      </x:c>
      <x:c r="B33" s="7" t="str">
        <x:v>Investigation</x:v>
      </x:c>
    </x:row>
    <x:row r="34" ht="42" customHeight="1">
      <x:c r="A34" s="7" t="str">
        <x:v>Responsible owner</x:v>
      </x:c>
      <x:c r="B34" s="7" t="str">
        <x:v>Inventory lead</x:v>
      </x:c>
    </x:row>
    <x:row r="35" ht="42" customHeight="1">
      <x:c r="A35" s="7" t="str">
        <x:v>Target date</x:v>
      </x:c>
      <x:c r="B35" s="7" t="str">
        <x:v>Not yet agreed</x:v>
      </x:c>
    </x:row>
    <x:row r="36" ht="42" customHeight="1">
      <x:c r="A36" s="7" t="str">
        <x:v>Urgency</x:v>
      </x:c>
      <x:c r="B36" s="7" t="str">
        <x:v>Not assessed</x:v>
      </x:c>
    </x:row>
    <x:row r="37" ht="42" customHeight="1">
      <x:c r="A37" s="7" t="str">
        <x:v>Work state</x:v>
      </x:c>
      <x:c r="B37" s="7" t="str">
        <x:v>Open — investigation not completed</x:v>
      </x:c>
    </x:row>
    <x:row r="38" ht="60" customHeight="1">
      <x:c r="A38" s="7" t="str">
        <x:v>Verification method</x:v>
      </x:c>
      <x:c r="B38" s="7" t="str">
        <x:v>After an evidenced action is chosen, examine subsequent relevant transactions and counts against the agreed criterion. Define the sample and timing before verification.</x:v>
      </x:c>
    </x:row>
    <x:row r="39" ht="42" customHeight="1">
      <x:c r="A39" s="7" t="str">
        <x:v>Verification owner</x:v>
      </x:c>
      <x:c r="B39" s="7" t="str">
        <x:v>Not yet assigned</x:v>
      </x:c>
    </x:row>
    <x:row r="40" ht="42" customHeight="1">
      <x:c r="A40" s="7" t="str">
        <x:v>Verification date</x:v>
      </x:c>
      <x:c r="B40" s="7" t="str">
        <x:v>Not yet agreed</x:v>
      </x:c>
    </x:row>
    <x:row r="41" ht="42" customHeight="1">
      <x:c r="A41" s="7" t="str">
        <x:v>Verification result</x:v>
      </x:c>
      <x:c r="B41" s="7" t="str">
        <x:v>Pending — no effectiveness conclusion</x:v>
      </x:c>
    </x:row>
    <x:row r="42" ht="42" customHeight="1">
      <x:c r="A42" s="7" t="str">
        <x:v>Decision / resources needed</x:v>
      </x:c>
      <x:c r="B42" s="7" t="str">
        <x:v>Establish adjustment authority and any process/system decision once the evidence is reviewed.</x:v>
      </x:c>
    </x:row>
    <x:row r="43" ht="42" customHeight="1">
      <x:c r="A43" s="7" t="str">
        <x:v>Decision owner</x:v>
      </x:c>
      <x:c r="B43" s="7" t="str">
        <x:v>Not yet established</x:v>
      </x:c>
    </x:row>
    <x:row r="44" ht="30" customHeight="1">
      <x:c r="A44" s="3"/>
      <x:c r="B44" s="3"/>
    </x:row>
    <x:row r="45" ht="54" customHeight="1">
      <x:c r="A45" s="7" t="str">
        <x:v>Management note</x:v>
      </x:c>
      <x:c r="B45" s="7" t="str">
        <x:v>Keep the one-unit difference, uncertain explanation and missing verification assignment visible. The case does not establish a missed pick, loss or successful fix.</x:v>
      </x:c>
    </x:row>
    <x:row r="46" ht="30" customHeight="1">
      <x:c r="A46" s="3"/>
      <x:c r="B46" s="3"/>
    </x:row>
    <x:row r="47" ht="30" customHeight="1">
      <x:c r="A47" s="3"/>
      <x:c r="B47" s="3"/>
    </x:row>
    <x:row r="48" ht="26" customHeight="1">
      <x:c r="A48" s="9" t="str">
        <x:v>Warehouse-provider renewal</x:v>
      </x:c>
      <x:c r="B48" s="3"/>
    </x:row>
    <x:row r="49" ht="30" customHeight="1">
      <x:c r="A49" s="29" t="str">
        <x:v>Example status</x:v>
      </x:c>
      <x:c r="B49" s="29" t="str">
        <x:v>Fictional worked example — renewal decision remains open</x:v>
      </x:c>
    </x:row>
    <x:row r="50" ht="42" customHeight="1">
      <x:c r="A50" s="7" t="str">
        <x:v>Purpose</x:v>
      </x:c>
      <x:c r="B50" s="7" t="str">
        <x:v>Bring service, storage and billing evidence to one decision while retaining separate criteria, owners and unanswered questions.</x:v>
      </x:c>
    </x:row>
    <x:row r="51" ht="30" customHeight="1">
      <x:c r="A51" s="3"/>
      <x:c r="B51" s="3"/>
    </x:row>
    <x:row r="52" ht="45" customHeight="1">
      <x:c r="A52" s="7" t="str">
        <x:v>Decision or question</x:v>
      </x:c>
      <x:c r="B52" s="7" t="str">
        <x:v>Renew the provider contract, request changes or seek further evidence?</x:v>
      </x:c>
    </x:row>
    <x:row r="53" ht="45" customHeight="1">
      <x:c r="A53" s="7" t="str">
        <x:v>Site or area alias</x:v>
      </x:c>
      <x:c r="B53" s="7" t="str">
        <x:v>Example provider site</x:v>
      </x:c>
    </x:row>
    <x:row r="54" ht="45" customHeight="1">
      <x:c r="A54" s="7" t="str">
        <x:v>Review date or period</x:v>
      </x:c>
      <x:c r="B54" s="7" t="str">
        <x:v>Renewal review period, shipment sample and billed period not yet agreed.</x:v>
      </x:c>
    </x:row>
    <x:row r="55" ht="45" customHeight="1">
      <x:c r="A55" s="7" t="str">
        <x:v>Operating conditions</x:v>
      </x:c>
      <x:c r="B55" s="7" t="str">
        <x:v>Workload, staffing and exception context to be obtained for selected shipments.</x:v>
      </x:c>
    </x:row>
    <x:row r="56" ht="45" customHeight="1">
      <x:c r="A56" s="7" t="str">
        <x:v>Coverage and sample</x:v>
      </x:c>
      <x:c r="B56" s="7" t="str">
        <x:v>Selected late dispatches, goods affected by the storage concern and disputed invoice lines. Linked checks FLOW03, FLOW04, GOODS02, GOODS04, CONTROL03 and CONTROL04.</x:v>
      </x:c>
    </x:row>
    <x:row r="57" ht="45" customHeight="1">
      <x:c r="A57" s="7" t="str">
        <x:v>Exclusions and limits</x:v>
      </x:c>
      <x:c r="B57" s="7" t="str">
        <x:v>This review has not established all provider qualifications or every product, legal or commercial requirement.</x:v>
      </x:c>
    </x:row>
    <x:row r="58" ht="45" customHeight="1">
      <x:c r="A58" s="7" t="str">
        <x:v>Criteria and versions</x:v>
      </x:c>
      <x:c r="B58" s="7" t="str">
        <x:v>Dispatch commitment, goods/customer storage requirement and applicable contract/rate version remain to be obtained and assigned to the relevant issue.</x:v>
      </x:c>
    </x:row>
    <x:row r="59" ht="45" customHeight="1">
      <x:c r="A59" s="7" t="str">
        <x:v>Reviewer and evidence providers</x:v>
      </x:c>
      <x:c r="B59" s="7" t="str">
        <x:v>Service, product/quality and commercial/finance owners provide evidence. Review responsibilities and any specialist assessment to be agreed.</x:v>
      </x:c>
    </x:row>
    <x:row r="60" ht="45" customHeight="1">
      <x:c r="A60" s="7" t="str">
        <x:v>Action responsibilities</x:v>
      </x:c>
      <x:c r="B60" s="7" t="str">
        <x:v>A separate responsible owner for each issue.</x:v>
      </x:c>
    </x:row>
    <x:row r="61" ht="45" customHeight="1">
      <x:c r="A61" s="7" t="str">
        <x:v>Decision owner</x:v>
      </x:c>
      <x:c r="B61" s="7" t="str">
        <x:v>Logistics director for renewal; other approval authorities to be established where required.</x:v>
      </x:c>
    </x:row>
    <x:row r="62" ht="30" customHeight="1">
      <x:c r="A62" s="3"/>
      <x:c r="B62" s="3"/>
    </x:row>
    <x:row r="63" ht="26" customHeight="1">
      <x:c r="A63" s="9" t="str">
        <x:v>EX-3PL-01: Late dispatches</x:v>
      </x:c>
      <x:c r="B63" s="3"/>
    </x:row>
    <x:row r="64" ht="42" customHeight="1">
      <x:c r="A64" s="7" t="str">
        <x:v>Finding ID</x:v>
      </x:c>
      <x:c r="B64" s="7" t="str">
        <x:v>EX-3PL-01</x:v>
      </x:c>
    </x:row>
    <x:row r="65" ht="42" customHeight="1">
      <x:c r="A65" s="7" t="str">
        <x:v>Linked check IDs</x:v>
      </x:c>
      <x:c r="B65" s="7" t="str">
        <x:v>FLOW03, FLOW04, CONTROL03</x:v>
      </x:c>
    </x:row>
    <x:row r="66" ht="42" customHeight="1">
      <x:c r="A66" s="7" t="str">
        <x:v>Issue</x:v>
      </x:c>
      <x:c r="B66" s="7" t="str">
        <x:v>Late dispatches</x:v>
      </x:c>
    </x:row>
    <x:row r="67" ht="42" customHeight="1">
      <x:c r="A67" s="7" t="str">
        <x:v>Review status</x:v>
      </x:c>
      <x:c r="B67" s="7" t="str">
        <x:v>Inconclusive or conflicting evidence</x:v>
      </x:c>
    </x:row>
    <x:row r="68" ht="42" customHeight="1">
      <x:c r="A68" s="7" t="str">
        <x:v>Criterion / reference</x:v>
      </x:c>
      <x:c r="B68" s="7" t="str">
        <x:v>Agreed dispatch commitment and relevant agreement version not yet attached.</x:v>
      </x:c>
    </x:row>
    <x:row r="69" ht="60" customHeight="1">
      <x:c r="A69" s="7" t="str">
        <x:v>Observation</x:v>
      </x:c>
      <x:c r="B69" s="7" t="str">
        <x:v>Recent dispatches are reported late. The selected shipment records have not yet been compared with the agreed commitment.</x:v>
      </x:c>
    </x:row>
    <x:row r="70" ht="42" customHeight="1">
      <x:c r="A70" s="7" t="str">
        <x:v>Evidence obtained</x:v>
      </x:c>
      <x:c r="B70" s="7" t="str">
        <x:v>Reported service concern in this fictional case; supporting timestamps not yet attached.</x:v>
      </x:c>
    </x:row>
    <x:row r="71" ht="60" customHeight="1">
      <x:c r="A71" s="7" t="str">
        <x:v>Evidence still needed</x:v>
      </x:c>
      <x:c r="B71" s="7" t="str">
        <x:v>Agreed commitment, order-release and actual dispatch timestamps, workload, staffing and exception records for the selected shipments.</x:v>
      </x:c>
    </x:row>
    <x:row r="72" ht="60" customHeight="1">
      <x:c r="A72" s="7" t="str">
        <x:v>Uncertainty</x:v>
      </x:c>
      <x:c r="B72" s="7" t="str">
        <x:v>Extent, contractual significance and reason for the delays remain unconfirmed.</x:v>
      </x:c>
    </x:row>
    <x:row r="73" ht="42" customHeight="1">
      <x:c r="A73" s="7" t="str">
        <x:v>Possible cause (hypothesis)</x:v>
      </x:c>
      <x:c r="B73" s="7" t="str">
        <x:v>Not established</x:v>
      </x:c>
    </x:row>
    <x:row r="74" ht="60" customHeight="1">
      <x:c r="A74" s="7" t="str">
        <x:v>Next action</x:v>
      </x:c>
      <x:c r="B74" s="7" t="str">
        <x:v>Obtain and compare the selected shipment records with the commitment; identify the constraint supported by the evidence.</x:v>
      </x:c>
    </x:row>
    <x:row r="75" ht="42" customHeight="1">
      <x:c r="A75" s="7" t="str">
        <x:v>Action type</x:v>
      </x:c>
      <x:c r="B75" s="7" t="str">
        <x:v>Investigation</x:v>
      </x:c>
    </x:row>
    <x:row r="76" ht="42" customHeight="1">
      <x:c r="A76" s="7" t="str">
        <x:v>Responsible owner</x:v>
      </x:c>
      <x:c r="B76" s="7" t="str">
        <x:v>Service owner</x:v>
      </x:c>
    </x:row>
    <x:row r="77" ht="42" customHeight="1">
      <x:c r="A77" s="7" t="str">
        <x:v>Target date</x:v>
      </x:c>
      <x:c r="B77" s="7" t="str">
        <x:v>Not yet agreed</x:v>
      </x:c>
    </x:row>
    <x:row r="78" ht="42" customHeight="1">
      <x:c r="A78" s="7" t="str">
        <x:v>Urgency</x:v>
      </x:c>
      <x:c r="B78" s="7" t="str">
        <x:v>Not assessed</x:v>
      </x:c>
    </x:row>
    <x:row r="79" ht="42" customHeight="1">
      <x:c r="A79" s="7" t="str">
        <x:v>Work state</x:v>
      </x:c>
      <x:c r="B79" s="7" t="str">
        <x:v>Open — evidence requested</x:v>
      </x:c>
    </x:row>
    <x:row r="80" ht="60" customHeight="1">
      <x:c r="A80" s="7" t="str">
        <x:v>Verification method</x:v>
      </x:c>
      <x:c r="B80" s="7" t="str">
        <x:v>Once an action and service criterion are agreed, compare later relevant shipment performance and exception records. Verification period not yet established.</x:v>
      </x:c>
    </x:row>
    <x:row r="81" ht="42" customHeight="1">
      <x:c r="A81" s="7" t="str">
        <x:v>Verification owner</x:v>
      </x:c>
      <x:c r="B81" s="7" t="str">
        <x:v>Not yet assigned</x:v>
      </x:c>
    </x:row>
    <x:row r="82" ht="42" customHeight="1">
      <x:c r="A82" s="7" t="str">
        <x:v>Verification date</x:v>
      </x:c>
      <x:c r="B82" s="7" t="str">
        <x:v>Not yet agreed</x:v>
      </x:c>
    </x:row>
    <x:row r="83" ht="42" customHeight="1">
      <x:c r="A83" s="7" t="str">
        <x:v>Verification result</x:v>
      </x:c>
      <x:c r="B83" s="7" t="str">
        <x:v>Pending — no effectiveness conclusion</x:v>
      </x:c>
    </x:row>
    <x:row r="84" ht="42" customHeight="1">
      <x:c r="A84" s="7" t="str">
        <x:v>Decision / resources needed</x:v>
      </x:c>
      <x:c r="B84" s="7" t="str">
        <x:v>Consider any evidenced resource or service condition as part of renewal.</x:v>
      </x:c>
    </x:row>
    <x:row r="85" ht="42" customHeight="1">
      <x:c r="A85" s="7" t="str">
        <x:v>Decision owner</x:v>
      </x:c>
      <x:c r="B85" s="7" t="str">
        <x:v>Logistics director</x:v>
      </x:c>
    </x:row>
    <x:row r="86" ht="30" customHeight="1">
      <x:c r="A86" s="3"/>
      <x:c r="B86" s="3"/>
    </x:row>
    <x:row r="87" ht="26" customHeight="1">
      <x:c r="A87" s="9" t="str">
        <x:v>EX-3PL-02: Customer storage concern</x:v>
      </x:c>
      <x:c r="B87" s="3"/>
    </x:row>
    <x:row r="88" ht="42" customHeight="1">
      <x:c r="A88" s="7" t="str">
        <x:v>Finding ID</x:v>
      </x:c>
      <x:c r="B88" s="7" t="str">
        <x:v>EX-3PL-02</x:v>
      </x:c>
    </x:row>
    <x:row r="89" ht="42" customHeight="1">
      <x:c r="A89" s="7" t="str">
        <x:v>Linked check IDs</x:v>
      </x:c>
      <x:c r="B89" s="7" t="str">
        <x:v>GOODS02, GOODS04, CONTROL03</x:v>
      </x:c>
    </x:row>
    <x:row r="90" ht="42" customHeight="1">
      <x:c r="A90" s="7" t="str">
        <x:v>Issue</x:v>
      </x:c>
      <x:c r="B90" s="7" t="str">
        <x:v>Customer storage concern</x:v>
      </x:c>
    </x:row>
    <x:row r="91" ht="42" customHeight="1">
      <x:c r="A91" s="7" t="str">
        <x:v>Review status</x:v>
      </x:c>
      <x:c r="B91" s="7" t="str">
        <x:v>Inconclusive or conflicting evidence</x:v>
      </x:c>
    </x:row>
    <x:row r="92" ht="42" customHeight="1">
      <x:c r="A92" s="7" t="str">
        <x:v>Criterion / reference</x:v>
      </x:c>
      <x:c r="B92" s="7" t="str">
        <x:v>Actual product/customer storage requirement and its applicable version not yet established.</x:v>
      </x:c>
    </x:row>
    <x:row r="93" ht="60" customHeight="1">
      <x:c r="A93" s="7" t="str">
        <x:v>Observation</x:v>
      </x:c>
      <x:c r="B93" s="7" t="str">
        <x:v>A customer has raised a storage concern. The affected goods, location and acceptability have not yet been established.</x:v>
      </x:c>
    </x:row>
    <x:row r="94" ht="42" customHeight="1">
      <x:c r="A94" s="7" t="str">
        <x:v>Evidence obtained</x:v>
      </x:c>
      <x:c r="B94" s="7" t="str">
        <x:v>Reported customer concern in this fictional case; supporting condition records not yet attached.</x:v>
      </x:c>
    </x:row>
    <x:row r="95" ht="60" customHeight="1">
      <x:c r="A95" s="7" t="str">
        <x:v>Evidence still needed</x:v>
      </x:c>
      <x:c r="B95" s="7" t="str">
        <x:v>Affected goods/location, applicable storage requirement, monitoring records, reported exception and competent assessment of acceptability.</x:v>
      </x:c>
    </x:row>
    <x:row r="96" ht="60" customHeight="1">
      <x:c r="A96" s="7" t="str">
        <x:v>Uncertainty</x:v>
      </x:c>
      <x:c r="B96" s="7" t="str">
        <x:v>The concern does not establish product condition, a breached requirement or the required disposition.</x:v>
      </x:c>
    </x:row>
    <x:row r="97" ht="42" customHeight="1">
      <x:c r="A97" s="7" t="str">
        <x:v>Possible cause (hypothesis)</x:v>
      </x:c>
      <x:c r="B97" s="7" t="str">
        <x:v>Not established</x:v>
      </x:c>
    </x:row>
    <x:row r="98" ht="60" customHeight="1">
      <x:c r="A98" s="7" t="str">
        <x:v>Next action</x:v>
      </x:c>
      <x:c r="B98" s="7" t="str">
        <x:v>Establish the applicable requirement, assess the affected goods and determine any action and verification needed.</x:v>
      </x:c>
    </x:row>
    <x:row r="99" ht="42" customHeight="1">
      <x:c r="A99" s="7" t="str">
        <x:v>Action type</x:v>
      </x:c>
      <x:c r="B99" s="7" t="str">
        <x:v>Investigation</x:v>
      </x:c>
    </x:row>
    <x:row r="100" ht="42" customHeight="1">
      <x:c r="A100" s="7" t="str">
        <x:v>Responsible owner</x:v>
      </x:c>
      <x:c r="B100" s="7" t="str">
        <x:v>Product/quality owner</x:v>
      </x:c>
    </x:row>
    <x:row r="101" ht="42" customHeight="1">
      <x:c r="A101" s="7" t="str">
        <x:v>Target date</x:v>
      </x:c>
      <x:c r="B101" s="7" t="str">
        <x:v>Not yet agreed</x:v>
      </x:c>
    </x:row>
    <x:row r="102" ht="42" customHeight="1">
      <x:c r="A102" s="7" t="str">
        <x:v>Urgency</x:v>
      </x:c>
      <x:c r="B102" s="7" t="str">
        <x:v>Not assessed</x:v>
      </x:c>
    </x:row>
    <x:row r="103" ht="42" customHeight="1">
      <x:c r="A103" s="7" t="str">
        <x:v>Work state</x:v>
      </x:c>
      <x:c r="B103" s="7" t="str">
        <x:v>Open — requirement and assessment outstanding</x:v>
      </x:c>
    </x:row>
    <x:row r="104" ht="60" customHeight="1">
      <x:c r="A104" s="7" t="str">
        <x:v>Verification method</x:v>
      </x:c>
      <x:c r="B104" s="7" t="str">
        <x:v>Define the evidence needed to verify the chosen action against the actual storage requirement; method remains to be agreed by the responsible assessor.</x:v>
      </x:c>
    </x:row>
    <x:row r="105" ht="42" customHeight="1">
      <x:c r="A105" s="7" t="str">
        <x:v>Verification owner</x:v>
      </x:c>
      <x:c r="B105" s="7" t="str">
        <x:v>Not yet assigned</x:v>
      </x:c>
    </x:row>
    <x:row r="106" ht="42" customHeight="1">
      <x:c r="A106" s="7" t="str">
        <x:v>Verification date</x:v>
      </x:c>
      <x:c r="B106" s="7" t="str">
        <x:v>Not yet agreed</x:v>
      </x:c>
    </x:row>
    <x:row r="107" ht="42" customHeight="1">
      <x:c r="A107" s="7" t="str">
        <x:v>Verification result</x:v>
      </x:c>
      <x:c r="B107" s="7" t="str">
        <x:v>Pending — no acceptability or effectiveness conclusion</x:v>
      </x:c>
    </x:row>
    <x:row r="108" ht="42" customHeight="1">
      <x:c r="A108" s="7" t="str">
        <x:v>Decision / resources needed</x:v>
      </x:c>
      <x:c r="B108" s="7" t="str">
        <x:v>Bring the assessment, required action and remaining uncertainty into the renewal review.</x:v>
      </x:c>
    </x:row>
    <x:row r="109" ht="42" customHeight="1">
      <x:c r="A109" s="7" t="str">
        <x:v>Decision owner</x:v>
      </x:c>
      <x:c r="B109" s="7" t="str">
        <x:v>Logistics director; product disposition authority not yet established</x:v>
      </x:c>
    </x:row>
    <x:row r="110" ht="30" customHeight="1">
      <x:c r="A110" s="3"/>
      <x:c r="B110" s="3"/>
    </x:row>
    <x:row r="111" ht="26" customHeight="1">
      <x:c r="A111" s="9" t="str">
        <x:v>EX-3PL-03: Disputed charges</x:v>
      </x:c>
      <x:c r="B111" s="3"/>
    </x:row>
    <x:row r="112" ht="42" customHeight="1">
      <x:c r="A112" s="7" t="str">
        <x:v>Finding ID</x:v>
      </x:c>
      <x:c r="B112" s="7" t="str">
        <x:v>EX-3PL-03</x:v>
      </x:c>
    </x:row>
    <x:row r="113" ht="42" customHeight="1">
      <x:c r="A113" s="7" t="str">
        <x:v>Linked check IDs</x:v>
      </x:c>
      <x:c r="B113" s="7" t="str">
        <x:v>CONTROL04</x:v>
      </x:c>
    </x:row>
    <x:row r="114" ht="42" customHeight="1">
      <x:c r="A114" s="7" t="str">
        <x:v>Issue</x:v>
      </x:c>
      <x:c r="B114" s="7" t="str">
        <x:v>Disputed charges</x:v>
      </x:c>
    </x:row>
    <x:row r="115" ht="42" customHeight="1">
      <x:c r="A115" s="7" t="str">
        <x:v>Review status</x:v>
      </x:c>
      <x:c r="B115" s="7" t="str">
        <x:v>Inconclusive or conflicting evidence</x:v>
      </x:c>
    </x:row>
    <x:row r="116" ht="42" customHeight="1">
      <x:c r="A116" s="7" t="str">
        <x:v>Criterion / reference</x:v>
      </x:c>
      <x:c r="B116" s="7" t="str">
        <x:v>Applicable contract/rate version, charging basis and billed period not yet attached.</x:v>
      </x:c>
    </x:row>
    <x:row r="117" ht="60" customHeight="1">
      <x:c r="A117" s="7" t="str">
        <x:v>Observation</x:v>
      </x:c>
      <x:c r="B117" s="7" t="str">
        <x:v>Some invoice charges are disputed. The relevant invoice lines have not yet been reconciled to the agreement and activity records.</x:v>
      </x:c>
    </x:row>
    <x:row r="118" ht="42" customHeight="1">
      <x:c r="A118" s="7" t="str">
        <x:v>Evidence obtained</x:v>
      </x:c>
      <x:c r="B118" s="7" t="str">
        <x:v>Reported billing dispute in this fictional case; selected invoice and activity references not yet attached.</x:v>
      </x:c>
    </x:row>
    <x:row r="119" ht="60" customHeight="1">
      <x:c r="A119" s="7" t="str">
        <x:v>Evidence still needed</x:v>
      </x:c>
      <x:c r="B119" s="7" t="str">
        <x:v>Contract/rate version, invoice lines, charging units, movement/storage/service records for the billed period and documented exceptions.</x:v>
      </x:c>
    </x:row>
    <x:row r="120" ht="60" customHeight="1">
      <x:c r="A120" s="7" t="str">
        <x:v>Uncertainty</x:v>
      </x:c>
      <x:c r="B120" s="7" t="str">
        <x:v>Interpretation, entitlement and any adjustment remain unresolved. No saving has been established.</x:v>
      </x:c>
    </x:row>
    <x:row r="121" ht="42" customHeight="1">
      <x:c r="A121" s="7" t="str">
        <x:v>Possible cause (hypothesis)</x:v>
      </x:c>
      <x:c r="B121" s="7" t="str">
        <x:v>Not established</x:v>
      </x:c>
    </x:row>
    <x:row r="122" ht="60" customHeight="1">
      <x:c r="A122" s="7" t="str">
        <x:v>Next action</x:v>
      </x:c>
      <x:c r="B122" s="7" t="str">
        <x:v>Reconcile the selected invoice lines and charging units with the agreement and activity evidence; record any interpretation needing a decision.</x:v>
      </x:c>
    </x:row>
    <x:row r="123" ht="42" customHeight="1">
      <x:c r="A123" s="7" t="str">
        <x:v>Action type</x:v>
      </x:c>
      <x:c r="B123" s="7" t="str">
        <x:v>Investigation</x:v>
      </x:c>
    </x:row>
    <x:row r="124" ht="42" customHeight="1">
      <x:c r="A124" s="7" t="str">
        <x:v>Responsible owner</x:v>
      </x:c>
      <x:c r="B124" s="7" t="str">
        <x:v>Commercial/finance owner</x:v>
      </x:c>
    </x:row>
    <x:row r="125" ht="42" customHeight="1">
      <x:c r="A125" s="7" t="str">
        <x:v>Target date</x:v>
      </x:c>
      <x:c r="B125" s="7" t="str">
        <x:v>Not yet agreed</x:v>
      </x:c>
    </x:row>
    <x:row r="126" ht="42" customHeight="1">
      <x:c r="A126" s="7" t="str">
        <x:v>Urgency</x:v>
      </x:c>
      <x:c r="B126" s="7" t="str">
        <x:v>Not assessed</x:v>
      </x:c>
    </x:row>
    <x:row r="127" ht="42" customHeight="1">
      <x:c r="A127" s="7" t="str">
        <x:v>Work state</x:v>
      </x:c>
      <x:c r="B127" s="7" t="str">
        <x:v>Open — reconciliation outstanding</x:v>
      </x:c>
    </x:row>
    <x:row r="128" ht="60" customHeight="1">
      <x:c r="A128" s="7" t="str">
        <x:v>Verification method</x:v>
      </x:c>
      <x:c r="B128" s="7" t="str">
        <x:v>Check any agreed resolution against the reconciled activity and resulting invoice or credit record. Requirements and reviewer remain to be agreed.</x:v>
      </x:c>
    </x:row>
    <x:row r="129" ht="42" customHeight="1">
      <x:c r="A129" s="7" t="str">
        <x:v>Verification owner</x:v>
      </x:c>
      <x:c r="B129" s="7" t="str">
        <x:v>Not yet assigned</x:v>
      </x:c>
    </x:row>
    <x:row r="130" ht="42" customHeight="1">
      <x:c r="A130" s="7" t="str">
        <x:v>Verification date</x:v>
      </x:c>
      <x:c r="B130" s="7" t="str">
        <x:v>Not yet agreed</x:v>
      </x:c>
    </x:row>
    <x:row r="131" ht="42" customHeight="1">
      <x:c r="A131" s="7" t="str">
        <x:v>Verification result</x:v>
      </x:c>
      <x:c r="B131" s="7" t="str">
        <x:v>Pending — no entitlement or resolution conclusion</x:v>
      </x:c>
    </x:row>
    <x:row r="132" ht="42" customHeight="1">
      <x:c r="A132" s="7" t="str">
        <x:v>Decision / resources needed</x:v>
      </x:c>
      <x:c r="B132" s="7" t="str">
        <x:v>Resolve any outstanding commercial interpretation and present it alongside the service and storage evidence.</x:v>
      </x:c>
    </x:row>
    <x:row r="133" ht="42" customHeight="1">
      <x:c r="A133" s="7" t="str">
        <x:v>Decision owner</x:v>
      </x:c>
      <x:c r="B133" s="7" t="str">
        <x:v>Commercial/finance authority to be established; logistics director for renewal</x:v>
      </x:c>
    </x:row>
    <x:row r="134" ht="30" customHeight="1">
      <x:c r="A134" s="3"/>
      <x:c r="B134" s="3"/>
    </x:row>
    <x:row r="135" ht="54" customHeight="1">
      <x:c r="A135" s="7" t="str">
        <x:v>Management note</x:v>
      </x:c>
      <x:c r="B135" s="7" t="str">
        <x:v>The director's renewal decision remains open. A service finding does not settle storage acceptability, provider qualification or invoice entitlement.</x:v>
      </x:c>
    </x:row>
    <x:row r="136" ht="30" customHeight="1">
      <x:c r="A136" s="3"/>
      <x:c r="B136" s="3"/>
    </x:row>
    <x:row r="137" ht="30" customHeight="1">
      <x:c r="A137" s="3"/>
      <x:c r="B137" s="3"/>
    </x:row>
    <x:row r="138" ht="30" customHeight="1">
      <x:c r="A138" s="3"/>
      <x:c r="B138" s="3"/>
    </x:row>
    <x:row r="139" ht="30" customHeight="1">
      <x:c r="A139" s="3"/>
      <x:c r="B139" s="3"/>
    </x:row>
    <x:row r="140" ht="30" customHeight="1">
      <x:c r="A140" s="3"/>
      <x:c r="B140" s="3"/>
    </x:row>
    <x:row r="141" ht="30" customHeight="1">
      <x:c r="A141" s="3"/>
      <x:c r="B141" s="3"/>
    </x:row>
    <x:row r="142" ht="30" customHeight="1">
      <x:c r="A142" s="3"/>
      <x:c r="B142" s="3"/>
    </x:row>
    <x:row r="143" ht="30" customHeight="1">
      <x:c r="A143" s="3"/>
      <x:c r="B143" s="3"/>
    </x:row>
    <x:row r="144" ht="30" customHeight="1">
      <x:c r="A144" s="3"/>
      <x:c r="B144" s="3"/>
    </x:row>
    <x:row r="145" ht="30" customHeight="1">
      <x:c r="A145" s="3"/>
      <x:c r="B145" s="3"/>
    </x:row>
    <x:row r="146" ht="30" customHeight="1">
      <x:c r="A146" s="3"/>
      <x:c r="B146" s="3"/>
    </x:row>
    <x:row r="147" ht="30" customHeight="1">
      <x:c r="A147" s="3"/>
      <x:c r="B147" s="3"/>
    </x:row>
    <x:row r="148" ht="30" customHeight="1">
      <x:c r="A148" s="3"/>
      <x:c r="B148" s="3"/>
    </x:row>
    <x:row r="149" ht="30" customHeight="1">
      <x:c r="A149" s="3"/>
      <x:c r="B149" s="3"/>
    </x:row>
    <x:row r="150" ht="30" customHeight="1">
      <x:c r="A150" s="3"/>
      <x:c r="B150" s="3"/>
    </x:row>
    <x:row r="151" ht="30" customHeight="1">
      <x:c r="A151" s="3"/>
      <x:c r="B151" s="3"/>
    </x:row>
    <x:row r="152" ht="30" customHeight="1">
      <x:c r="A152" s="3"/>
      <x:c r="B152" s="3"/>
    </x:row>
    <x:row r="153" ht="30" customHeight="1">
      <x:c r="A153" s="3"/>
      <x:c r="B153" s="3"/>
    </x:row>
    <x:row r="154" ht="30" customHeight="1">
      <x:c r="A154" s="3"/>
      <x:c r="B154" s="3"/>
    </x:row>
    <x:row r="155" ht="30" customHeight="1">
      <x:c r="A155" s="3"/>
      <x:c r="B155" s="3"/>
    </x:row>
    <x:row r="156" ht="30" customHeight="1">
      <x:c r="A156" s="3"/>
      <x:c r="B156" s="3"/>
    </x:row>
    <x:row r="157" ht="30" customHeight="1">
      <x:c r="A157" s="3"/>
      <x:c r="B157" s="3"/>
    </x:row>
    <x:row r="158" ht="30" customHeight="1">
      <x:c r="A158" s="3"/>
      <x:c r="B158" s="3"/>
    </x:row>
    <x:row r="159" ht="30" customHeight="1">
      <x:c r="A159" s="3"/>
      <x:c r="B159" s="3"/>
    </x:row>
    <x:row r="160" ht="30" customHeight="1">
      <x:c r="A160" s="3"/>
      <x:c r="B160" s="3"/>
    </x:row>
  </x:sheetData>
  <x:mergeCells>
    <x:mergeCell ref="A2:D2"/>
  </x:mergeCells>
  <x:pageMargins left="0.7" right="0.7" top="0.75" bottom="0.75" header="0.3" footer="0.3"/>
</x:worksheet>
</file>